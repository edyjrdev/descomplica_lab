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yjrdev\descomplica_lab\docs\"/>
    </mc:Choice>
  </mc:AlternateContent>
  <xr:revisionPtr revIDLastSave="0" documentId="13_ncr:1_{0FE6C2D8-3186-4E32-B5DF-06214C399255}" xr6:coauthVersionLast="47" xr6:coauthVersionMax="47" xr10:uidLastSave="{00000000-0000-0000-0000-000000000000}"/>
  <bookViews>
    <workbookView xWindow="-120" yWindow="-120" windowWidth="29040" windowHeight="15720" xr2:uid="{FF1552BF-A68A-41CA-98A9-439A2B69C121}"/>
  </bookViews>
  <sheets>
    <sheet name="lista" sheetId="1" r:id="rId1"/>
    <sheet name="disciplina" sheetId="4" r:id="rId2"/>
    <sheet name="Contrato" sheetId="2" r:id="rId3"/>
    <sheet name="historico" sheetId="3" r:id="rId4"/>
  </sheets>
  <definedNames>
    <definedName name="_xlnm._FilterDatabase" localSheetId="1" hidden="1">disciplina!$A$1:$D$233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3" i="4" l="1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B2" i="2"/>
  <c r="A4" i="1"/>
  <c r="A5" i="1" s="1"/>
  <c r="A6" i="1" s="1"/>
  <c r="A7" i="1" s="1"/>
  <c r="A8" i="1" s="1"/>
  <c r="A9" i="1" s="1"/>
  <c r="A10" i="1" s="1"/>
  <c r="A11" i="1" s="1"/>
  <c r="A12" i="1" s="1"/>
  <c r="A13" i="1" s="1"/>
  <c r="A3" i="1"/>
</calcChain>
</file>

<file path=xl/sharedStrings.xml><?xml version="1.0" encoding="utf-8"?>
<sst xmlns="http://schemas.openxmlformats.org/spreadsheetml/2006/main" count="782" uniqueCount="166">
  <si>
    <t>MBA em Big Data e Inteligência Competitiva</t>
  </si>
  <si>
    <t>MBA em Web 3.0</t>
  </si>
  <si>
    <t>MBA em Segurança da Informação</t>
  </si>
  <si>
    <t>Pós-Graduação em Data Science</t>
  </si>
  <si>
    <t>Pós-graduação em Projetos de Cloud Computing</t>
  </si>
  <si>
    <t>Pós-graduação em Projetos de Aplicativos Móveis Multiplataforma</t>
  </si>
  <si>
    <t>Pós-Graduação em Desenvolvimento Full Stack</t>
  </si>
  <si>
    <t>Pós-graduação em Inteligência Artificial Aplicada a Growth Marketing</t>
  </si>
  <si>
    <t>Pós-graduação em Análise de Dados</t>
  </si>
  <si>
    <t>Pós-graduação em Engenharia de Software</t>
  </si>
  <si>
    <t>Pós-graduação em Tecnologias Aplicadas a Educação</t>
  </si>
  <si>
    <t>Pós-graduação em Privacidade e Proteção de Dados Pessoais</t>
  </si>
  <si>
    <t>Curso</t>
  </si>
  <si>
    <t>N</t>
  </si>
  <si>
    <t>Ordem</t>
  </si>
  <si>
    <t>Início</t>
  </si>
  <si>
    <t>Final</t>
  </si>
  <si>
    <t>Período Letivo</t>
  </si>
  <si>
    <t>Turma</t>
  </si>
  <si>
    <t>Status</t>
  </si>
  <si>
    <t>Periodo Letivo Único</t>
  </si>
  <si>
    <t>Privacidade e Proteção de Dados Pessoais</t>
  </si>
  <si>
    <t>Privacidade e Proteção de Dados Pessoais - CM1</t>
  </si>
  <si>
    <t>Ativa</t>
  </si>
  <si>
    <t>Análise de Dados</t>
  </si>
  <si>
    <t>Análise de Dados - CM2</t>
  </si>
  <si>
    <t>Inteligência Artificial Aplicada a Growth Marketing</t>
  </si>
  <si>
    <t>Inteligência Artificial Aplicada a Growth Marketing - CM1</t>
  </si>
  <si>
    <t>Desenvolvimento Full Stack</t>
  </si>
  <si>
    <t>Desenvolvimento Full Stack - CM1</t>
  </si>
  <si>
    <t>Data Science</t>
  </si>
  <si>
    <t>Data Science - CM1</t>
  </si>
  <si>
    <t>MBA em Segurança da Informação - CM2</t>
  </si>
  <si>
    <t>MBA em Big Data e Inteligência Competitiva - CM2</t>
  </si>
  <si>
    <t>Projetos de Aplicativos Móveis Multiplataforma</t>
  </si>
  <si>
    <t>Projetos de Aplicativos Móveis Multiplataforma - CM2</t>
  </si>
  <si>
    <t>MBA em Web 3.0 - CM1</t>
  </si>
  <si>
    <t>Projetos de Cloud Computing</t>
  </si>
  <si>
    <t>Projetos de Cloud Computing - CM1</t>
  </si>
  <si>
    <t>Tecnologias Aplicadas à Educação</t>
  </si>
  <si>
    <t>Tecnologias Aplicadas à Educação - CM1</t>
  </si>
  <si>
    <t>Engenharia de Software</t>
  </si>
  <si>
    <t>Engenharia de Software - CM1</t>
  </si>
  <si>
    <t>Curso Pos Graduação</t>
  </si>
  <si>
    <t>Módulo</t>
  </si>
  <si>
    <t>Disciplina</t>
  </si>
  <si>
    <t>Módulo 1</t>
  </si>
  <si>
    <t>Estatística Aplicada a Negócios</t>
  </si>
  <si>
    <t>Computação e Inteligência Artificial</t>
  </si>
  <si>
    <t>Essencial DataBase</t>
  </si>
  <si>
    <t>Big Data Analytics</t>
  </si>
  <si>
    <t>Módulo 2</t>
  </si>
  <si>
    <t>Python</t>
  </si>
  <si>
    <t>Coleta e Tratamento de Dados</t>
  </si>
  <si>
    <t>Statistics for Data Science</t>
  </si>
  <si>
    <t>Statistics Library in Python</t>
  </si>
  <si>
    <t>Ferramentas para Big Data</t>
  </si>
  <si>
    <t>Módulo 3</t>
  </si>
  <si>
    <t>Data Analytics e Big Data para Tomada de Decisão</t>
  </si>
  <si>
    <t>Privacy and Data Protection</t>
  </si>
  <si>
    <t>Data Integration, Ingestion &amp; Quality</t>
  </si>
  <si>
    <t>Cloud Security</t>
  </si>
  <si>
    <t>Avaliação Objetiva</t>
  </si>
  <si>
    <t>Avaliação</t>
  </si>
  <si>
    <t>Estudo de Caso</t>
  </si>
  <si>
    <t>Pitch</t>
  </si>
  <si>
    <t>Módulo 0</t>
  </si>
  <si>
    <t>Bem vindo!</t>
  </si>
  <si>
    <t>Arquitetura e Modelagem de Dados</t>
  </si>
  <si>
    <t>Linguagem R</t>
  </si>
  <si>
    <t>Machine Learning</t>
  </si>
  <si>
    <t>Deep Learning</t>
  </si>
  <si>
    <t>Visualização de Dados</t>
  </si>
  <si>
    <t>Conteúdo Bônus</t>
  </si>
  <si>
    <t>Tópicos Especiais de Tecnologia</t>
  </si>
  <si>
    <t>Tópicos Especiais de Diversidade</t>
  </si>
  <si>
    <t>Tópicos Especiais de Carreira</t>
  </si>
  <si>
    <t>Atualidades pós-graduação</t>
  </si>
  <si>
    <t>Gestão do Tempo</t>
  </si>
  <si>
    <t>Boas Vindas!</t>
  </si>
  <si>
    <t>Geral Web 3.0</t>
  </si>
  <si>
    <t>Panorama Econômico</t>
  </si>
  <si>
    <t>Mercado Financeiro</t>
  </si>
  <si>
    <t>Criptomoedas</t>
  </si>
  <si>
    <t>NFT: conceitos e criação</t>
  </si>
  <si>
    <t>Practitioner Front-End</t>
  </si>
  <si>
    <t>Intermediary Front-End</t>
  </si>
  <si>
    <t>Advanced Front-end</t>
  </si>
  <si>
    <t>DataViz</t>
  </si>
  <si>
    <t>Blockchain: Arquitetura, Desenvolvimento e Aplicações em Web 3.0</t>
  </si>
  <si>
    <t>Boas-Vindas!</t>
  </si>
  <si>
    <t>Cybersecurity Essentials</t>
  </si>
  <si>
    <t>Networking Essentials</t>
  </si>
  <si>
    <t>Endpoint Security</t>
  </si>
  <si>
    <t>Network Defense</t>
  </si>
  <si>
    <t>Cyber Threat Management</t>
  </si>
  <si>
    <t>CyberOps</t>
  </si>
  <si>
    <t>Network Security</t>
  </si>
  <si>
    <t>IoT Security</t>
  </si>
  <si>
    <t>Computer Security Incident Response Teams</t>
  </si>
  <si>
    <t>Data Mapping and Privacy Governance</t>
  </si>
  <si>
    <t>Learning Programming</t>
  </si>
  <si>
    <t>Clusterização</t>
  </si>
  <si>
    <t>Regressão e Predição</t>
  </si>
  <si>
    <t>Network Science</t>
  </si>
  <si>
    <t>Perceptron e Adaline</t>
  </si>
  <si>
    <t>Projeto de Vida</t>
  </si>
  <si>
    <t>Coaching e Planejamento de Carreira</t>
  </si>
  <si>
    <t>Governança e Qualidade de Dados</t>
  </si>
  <si>
    <t>Da Iniciação ao Orçamento do Projeto</t>
  </si>
  <si>
    <t>Narrativas, Roteiro e Storyboard</t>
  </si>
  <si>
    <t>Segurança e Privacidade</t>
  </si>
  <si>
    <t>Redes de Comunicação, Protocolos e Roteamento</t>
  </si>
  <si>
    <t>Qualidade, Recursos, Comunicação e Riscos de Projetos</t>
  </si>
  <si>
    <t>Computação em Nuvem</t>
  </si>
  <si>
    <t>Execução, Controle e Encerramento de Projetos Ágeis</t>
  </si>
  <si>
    <t>Plataformas de Software na Nuvem para Internet das Coisas</t>
  </si>
  <si>
    <t>Segurança em Infraestrutura de Redes e Computação Móvel</t>
  </si>
  <si>
    <t>Análise de Dados e BI para Tomada de Decisão</t>
  </si>
  <si>
    <t>Gestão Ágil de Projetos</t>
  </si>
  <si>
    <t>Fundamentos da Gestão de Projetos</t>
  </si>
  <si>
    <t>Governança de Dados</t>
  </si>
  <si>
    <t>Mercado de Aplicações Móveis</t>
  </si>
  <si>
    <t>Desenvolvimento em plataformas hibridas: Flutter</t>
  </si>
  <si>
    <t>Desenvolvimento em plataformas híbridas: React Native</t>
  </si>
  <si>
    <t>Lógica de Programação com Java</t>
  </si>
  <si>
    <t>Interface de Software</t>
  </si>
  <si>
    <t>Strategies BackEnd</t>
  </si>
  <si>
    <t>Refactoring</t>
  </si>
  <si>
    <t>Intermediary BackEnd</t>
  </si>
  <si>
    <t>Advanced BackEnd</t>
  </si>
  <si>
    <t>Cloud diversity AWS</t>
  </si>
  <si>
    <t>Hero Cloud developer</t>
  </si>
  <si>
    <t>Tópicos Especiais de Direito</t>
  </si>
  <si>
    <t>A Inteligência Artificial Como Habilidade no Mercado de Trabalho</t>
  </si>
  <si>
    <t>Branded Content: Marketing de Conteúdo</t>
  </si>
  <si>
    <t>Martech</t>
  </si>
  <si>
    <t>Ferramentas de AI para Não Programadores</t>
  </si>
  <si>
    <t>Content Development</t>
  </si>
  <si>
    <t>Jornada do Consumidor</t>
  </si>
  <si>
    <t>Growth Hacking</t>
  </si>
  <si>
    <t>Social Media</t>
  </si>
  <si>
    <t>Estratégia de Marketing</t>
  </si>
  <si>
    <t>Redes Neurais e Inteligência Artificial Aplicada</t>
  </si>
  <si>
    <t>Projeto Aplicado: Inteligência Artificial aplicada a Marketing e Growth</t>
  </si>
  <si>
    <t>Gerenciamento Avançado de Projetos</t>
  </si>
  <si>
    <t>Metodologias de Desenvolvimento de Software</t>
  </si>
  <si>
    <t>Programação Extrema</t>
  </si>
  <si>
    <t>Estruturas de Dados para Sistemas Inteligentes</t>
  </si>
  <si>
    <t>Arquitetura de BI e Big Data</t>
  </si>
  <si>
    <t>Plataformas para Desenvolvimento em Nuvem</t>
  </si>
  <si>
    <t>Desenvolvimento de Software Educacional</t>
  </si>
  <si>
    <t>Principais Softwares Educacionais</t>
  </si>
  <si>
    <t>Robótica Pedagógica</t>
  </si>
  <si>
    <t>Jogos Educacionais</t>
  </si>
  <si>
    <t>Recursos Audiovisuais Utilizados na Educação</t>
  </si>
  <si>
    <t>O ecossistema da LGPD</t>
  </si>
  <si>
    <t>Análise de conformidade com a LGPD</t>
  </si>
  <si>
    <t>Tratamento e Resposta à Incidentes</t>
  </si>
  <si>
    <t>Sistema de Gestão de Proteção e Privacidade de Dados</t>
  </si>
  <si>
    <t>Mapeamento de Fluxo de Dados</t>
  </si>
  <si>
    <t>Prioridade</t>
  </si>
  <si>
    <t>Periodo</t>
  </si>
  <si>
    <t>3 meses</t>
  </si>
  <si>
    <t>6 meses</t>
  </si>
  <si>
    <t>9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</si>
</sst>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Light"/>
      <family val="2"/>
    </font>
    <font>
      <sz val="15"/>
      <color rgb="FF111111"/>
      <name val="Aptos Light"/>
      <family val="2"/>
    </font>
    <font>
      <sz val="15"/>
      <color rgb="FF666666"/>
      <name val="Aptos Light"/>
      <family val="2"/>
    </font>
    <font>
      <u/>
      <sz val="15"/>
      <color rgb="FF111111"/>
      <name val="Aptos Light"/>
      <family val="2"/>
    </font>
    <font>
      <b/>
      <sz val="11"/>
      <color theme="1"/>
      <name val="Aptos Light"/>
      <family val="2"/>
    </font>
    <font>
      <b/>
      <sz val="11"/>
      <color theme="9" tint="-0.499984740745262"/>
      <name val="Aptos Narrow"/>
      <family val="2"/>
      <scheme val="minor"/>
    </font>
    <font>
      <u/>
      <sz val="11"/>
      <color theme="1"/>
      <name val="Aptos Light"/>
      <family val="2"/>
    </font>
    <font>
      <sz val="11"/>
      <color rgb="FF4E5155"/>
      <name val="Roboto"/>
    </font>
    <font>
      <sz val="11"/>
      <color rgb="FF4E5155"/>
      <name val="Roboto"/>
    </font>
    <font>
      <sz val="11"/>
      <color rgb="FFFFFFFF"/>
      <name val="Roboto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111111"/>
      <name val="Aptos"/>
      <family val="2"/>
    </font>
    <font>
      <u/>
      <sz val="12"/>
      <color theme="10"/>
      <name val="Aptos"/>
      <family val="2"/>
    </font>
    <font>
      <u/>
      <sz val="12"/>
      <color rgb="FF111111"/>
      <name val="Aptos"/>
      <family val="2"/>
    </font>
    <font>
      <sz val="12"/>
      <color rgb="FF11111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C07D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1F1F2"/>
      </left>
      <right style="medium">
        <color rgb="FFF1F1F2"/>
      </right>
      <top style="medium">
        <color rgb="FFF1F1F2"/>
      </top>
      <bottom style="thick">
        <color rgb="FFF1F1F2"/>
      </bottom>
      <diagonal/>
    </border>
    <border>
      <left style="medium">
        <color rgb="FFF1F1F2"/>
      </left>
      <right style="medium">
        <color rgb="FFF1F1F2"/>
      </right>
      <top style="medium">
        <color rgb="FFF1F1F2"/>
      </top>
      <bottom style="medium">
        <color rgb="FFF1F1F2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3">
    <xf numFmtId="0" fontId="0" fillId="0" borderId="0" xfId="0"/>
    <xf numFmtId="0" fontId="7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8" fillId="3" borderId="1" xfId="0" applyNumberFormat="1" applyFont="1" applyFill="1" applyBorder="1"/>
    <xf numFmtId="14" fontId="1" fillId="2" borderId="1" xfId="0" applyNumberFormat="1" applyFont="1" applyFill="1" applyBorder="1"/>
    <xf numFmtId="0" fontId="2" fillId="0" borderId="1" xfId="0" applyFont="1" applyBorder="1"/>
    <xf numFmtId="0" fontId="9" fillId="0" borderId="1" xfId="0" applyFont="1" applyBorder="1"/>
    <xf numFmtId="0" fontId="0" fillId="4" borderId="0" xfId="0" applyFill="1"/>
    <xf numFmtId="0" fontId="10" fillId="4" borderId="2" xfId="0" applyFont="1" applyFill="1" applyBorder="1" applyAlignment="1">
      <alignment horizontal="center" wrapText="1"/>
    </xf>
    <xf numFmtId="0" fontId="11" fillId="4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14" fillId="0" borderId="1" xfId="0" applyFont="1" applyBorder="1"/>
    <xf numFmtId="0" fontId="15" fillId="0" borderId="1" xfId="0" applyFont="1" applyBorder="1" applyAlignment="1">
      <alignment vertical="center" wrapText="1"/>
    </xf>
    <xf numFmtId="0" fontId="16" fillId="0" borderId="1" xfId="1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6" borderId="1" xfId="0" applyFont="1" applyFill="1" applyBorder="1"/>
    <xf numFmtId="0" fontId="20" fillId="6" borderId="1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ulas.descomplica.com.br/pos/pos-graduacao-em-projetos-de-aplicativos-moveis-multiplataforma-374411/turma/topicos-especiais-de-diversidade-0c2587" TargetMode="External"/><Relationship Id="rId21" Type="http://schemas.openxmlformats.org/officeDocument/2006/relationships/hyperlink" Target="https://aulas.descomplica.com.br/pos/mba-em-big-data-e-inteligencia-competitiva-eeb8f1/turma/machine-learning-f3d335" TargetMode="External"/><Relationship Id="rId42" Type="http://schemas.openxmlformats.org/officeDocument/2006/relationships/hyperlink" Target="https://aulas.descomplica.com.br/pos/mba-em-web-3-0/turma/dataviz-f49495" TargetMode="External"/><Relationship Id="rId63" Type="http://schemas.openxmlformats.org/officeDocument/2006/relationships/hyperlink" Target="https://aulas.descomplica.com.br/pos/mba-em-seguranca-da-informacao-54164c/turma/topicos-especiais-de-tecnologia-6700d0" TargetMode="External"/><Relationship Id="rId84" Type="http://schemas.openxmlformats.org/officeDocument/2006/relationships/hyperlink" Target="https://aulas.descomplica.com.br/pos/pos-graduacao-em-data-science/turma/atualidades-pos-graduacao-78c8a9" TargetMode="External"/><Relationship Id="rId138" Type="http://schemas.openxmlformats.org/officeDocument/2006/relationships/hyperlink" Target="https://aulas.descomplica.com.br/pos/pos-graduacao-em-inteligencia-artificial-aplicada-a-growth-marketing/turma/analise-de-dados-e-bi-para-tomada-de-decisao-43a731" TargetMode="External"/><Relationship Id="rId159" Type="http://schemas.openxmlformats.org/officeDocument/2006/relationships/hyperlink" Target="https://aulas.descomplica.com.br/pos/pos-graduacao-em-engenharia-de-software-dc1e5e/turma/arquitetura-e-modelagem-de-dados-c511cb" TargetMode="External"/><Relationship Id="rId170" Type="http://schemas.openxmlformats.org/officeDocument/2006/relationships/hyperlink" Target="https://aulas.descomplica.com.br/pos/pos-graduacao-em-tecnologias-aplicadas-a-educacao-aa4b27/turma/redes-de-comunicacao-protocolos-e-roteamento-89f5d5" TargetMode="External"/><Relationship Id="rId191" Type="http://schemas.openxmlformats.org/officeDocument/2006/relationships/hyperlink" Target="https://aulas.descomplica.com.br/pos/pos-graduacao-em-privacidade-e-protecao-de-dados-pessoais-34c664/turma/sistema-de-gestao-de-protecao-e-privacidade-de-dados" TargetMode="External"/><Relationship Id="rId107" Type="http://schemas.openxmlformats.org/officeDocument/2006/relationships/hyperlink" Target="https://aulas.descomplica.com.br/pos/pos-graduacao-em-projetos-de-aplicativos-moveis-multiplataforma-374411/turma/governanca-de-dados-565790" TargetMode="External"/><Relationship Id="rId11" Type="http://schemas.openxmlformats.org/officeDocument/2006/relationships/hyperlink" Target="https://aulas.descomplica.com.br/pos/pos-graduacao-em-analise-de-dados-2a94b5/turma/privacy-and-data-protection-21539e" TargetMode="External"/><Relationship Id="rId32" Type="http://schemas.openxmlformats.org/officeDocument/2006/relationships/hyperlink" Target="https://aulas.descomplica.com.br/pos/mba-em-web-3-0/turma/boas-vindas--65e9d8" TargetMode="External"/><Relationship Id="rId53" Type="http://schemas.openxmlformats.org/officeDocument/2006/relationships/hyperlink" Target="https://aulas.descomplica.com.br/pos/mba-em-seguranca-da-informacao-54164c/turma/endpoint-security" TargetMode="External"/><Relationship Id="rId74" Type="http://schemas.openxmlformats.org/officeDocument/2006/relationships/hyperlink" Target="https://aulas.descomplica.com.br/pos/pos-graduacao-em-data-science/turma/statistics-library-in-python-122673" TargetMode="External"/><Relationship Id="rId128" Type="http://schemas.openxmlformats.org/officeDocument/2006/relationships/hyperlink" Target="https://aulas.descomplica.com.br/pos/pos-graduacao-em-desenvolvimento-full-stack/turma/refactoring-764ce6" TargetMode="External"/><Relationship Id="rId149" Type="http://schemas.openxmlformats.org/officeDocument/2006/relationships/hyperlink" Target="https://aulas.descomplica.com.br/pos/pos-graduacao-em-inteligencia-artificial-aplicada-a-growth-marketing/turma/projeto-aplicado-inteligencia-artificial-aplicada-a-marketing-e-growth" TargetMode="External"/><Relationship Id="rId5" Type="http://schemas.openxmlformats.org/officeDocument/2006/relationships/hyperlink" Target="https://aulas.descomplica.com.br/pos/pos-graduacao-em-analise-de-dados-2a94b5/turma/python-0f27cc" TargetMode="External"/><Relationship Id="rId95" Type="http://schemas.openxmlformats.org/officeDocument/2006/relationships/hyperlink" Target="https://aulas.descomplica.com.br/pos/pos-graduacao-em-projetos-de-cloud-computing-f04b1d/turma/computacao-em-nuvem-1534f3" TargetMode="External"/><Relationship Id="rId160" Type="http://schemas.openxmlformats.org/officeDocument/2006/relationships/hyperlink" Target="https://aulas.descomplica.com.br/pos/pos-graduacao-em-engenharia-de-software-dc1e5e/turma/cloud-diversity-aws-3307b9" TargetMode="External"/><Relationship Id="rId181" Type="http://schemas.openxmlformats.org/officeDocument/2006/relationships/hyperlink" Target="https://aulas.descomplica.com.br/pos/pos-graduacao-em-privacidade-e-protecao-de-dados-pessoais-34c664/turma/projeto-de-vida-881cd0" TargetMode="External"/><Relationship Id="rId22" Type="http://schemas.openxmlformats.org/officeDocument/2006/relationships/hyperlink" Target="https://aulas.descomplica.com.br/pos/mba-em-big-data-e-inteligencia-competitiva-eeb8f1/turma/deep-learning-0b9cb8" TargetMode="External"/><Relationship Id="rId43" Type="http://schemas.openxmlformats.org/officeDocument/2006/relationships/hyperlink" Target="https://aulas.descomplica.com.br/pos/mba-em-web-3-0/turma/statistics-for-data-science-4da258" TargetMode="External"/><Relationship Id="rId64" Type="http://schemas.openxmlformats.org/officeDocument/2006/relationships/hyperlink" Target="https://aulas.descomplica.com.br/pos/mba-em-seguranca-da-informacao-54164c/turma/topicos-especiais-de-diversidade-f3d184" TargetMode="External"/><Relationship Id="rId118" Type="http://schemas.openxmlformats.org/officeDocument/2006/relationships/hyperlink" Target="https://aulas.descomplica.com.br/pos/pos-graduacao-em-projetos-de-aplicativos-moveis-multiplataforma-374411/turma/topicos-especiais-de-carreira-2fd17c" TargetMode="External"/><Relationship Id="rId139" Type="http://schemas.openxmlformats.org/officeDocument/2006/relationships/hyperlink" Target="https://aulas.descomplica.com.br/pos/pos-graduacao-em-inteligencia-artificial-aplicada-a-growth-marketing/turma/a-inteligencia-artificial-como-habilidade-no-mercado-de-trabalho" TargetMode="External"/><Relationship Id="rId85" Type="http://schemas.openxmlformats.org/officeDocument/2006/relationships/hyperlink" Target="https://aulas.descomplica.com.br/pos/pos-graduacao-em-data-science/turma/gestao-do-tempo-b27442" TargetMode="External"/><Relationship Id="rId150" Type="http://schemas.openxmlformats.org/officeDocument/2006/relationships/hyperlink" Target="https://aulas.descomplica.com.br/pos/pos-graduacao-em-engenharia-de-software-dc1e5e/turma/logica-de-programacao-com-java-b1c67a" TargetMode="External"/><Relationship Id="rId171" Type="http://schemas.openxmlformats.org/officeDocument/2006/relationships/hyperlink" Target="https://aulas.descomplica.com.br/pos/pos-graduacao-em-tecnologias-aplicadas-a-educacao-aa4b27/turma/principais-softwares-educacionais" TargetMode="External"/><Relationship Id="rId192" Type="http://schemas.openxmlformats.org/officeDocument/2006/relationships/hyperlink" Target="https://aulas.descomplica.com.br/pos/pos-graduacao-em-privacidade-e-protecao-de-dados-pessoais-34c664/turma/mapeamento-de-fluxo-de-dados" TargetMode="External"/><Relationship Id="rId12" Type="http://schemas.openxmlformats.org/officeDocument/2006/relationships/hyperlink" Target="https://aulas.descomplica.com.br/pos/pos-graduacao-em-analise-de-dados-2a94b5/turma/data-integration-ingestion-quality-56ae35" TargetMode="External"/><Relationship Id="rId33" Type="http://schemas.openxmlformats.org/officeDocument/2006/relationships/hyperlink" Target="https://aulas.descomplica.com.br/pos/mba-em-web-3-0/turma/geral-web-3-0" TargetMode="External"/><Relationship Id="rId108" Type="http://schemas.openxmlformats.org/officeDocument/2006/relationships/hyperlink" Target="https://aulas.descomplica.com.br/pos/pos-graduacao-em-projetos-de-aplicativos-moveis-multiplataforma-374411/turma/cybersecurity-essentials-437975" TargetMode="External"/><Relationship Id="rId129" Type="http://schemas.openxmlformats.org/officeDocument/2006/relationships/hyperlink" Target="https://aulas.descomplica.com.br/pos/pos-graduacao-em-desenvolvimento-full-stack/turma/intermediary-backend" TargetMode="External"/><Relationship Id="rId54" Type="http://schemas.openxmlformats.org/officeDocument/2006/relationships/hyperlink" Target="https://aulas.descomplica.com.br/pos/mba-em-seguranca-da-informacao-54164c/turma/network-defense-0a3025" TargetMode="External"/><Relationship Id="rId75" Type="http://schemas.openxmlformats.org/officeDocument/2006/relationships/hyperlink" Target="https://aulas.descomplica.com.br/pos/pos-graduacao-em-data-science/turma/machine-learning" TargetMode="External"/><Relationship Id="rId96" Type="http://schemas.openxmlformats.org/officeDocument/2006/relationships/hyperlink" Target="https://aulas.descomplica.com.br/pos/pos-graduacao-em-projetos-de-cloud-computing-f04b1d/turma/execucao-controle-e-encerramento-de-projetos-ageis-8b1e80" TargetMode="External"/><Relationship Id="rId140" Type="http://schemas.openxmlformats.org/officeDocument/2006/relationships/hyperlink" Target="https://aulas.descomplica.com.br/pos/pos-graduacao-em-inteligencia-artificial-aplicada-a-growth-marketing/turma/branded-content-marketing-de-conteudo-4d3930" TargetMode="External"/><Relationship Id="rId161" Type="http://schemas.openxmlformats.org/officeDocument/2006/relationships/hyperlink" Target="https://aulas.descomplica.com.br/pos/pos-graduacao-em-engenharia-de-software-dc1e5e/turma/analise-de-dados-e-bi-para-tomada-de-decisao-293925" TargetMode="External"/><Relationship Id="rId182" Type="http://schemas.openxmlformats.org/officeDocument/2006/relationships/hyperlink" Target="https://aulas.descomplica.com.br/pos/pos-graduacao-em-privacidade-e-protecao-de-dados-pessoais-34c664/turma/coaching-e-planejamento-de-carreira-5d2e30" TargetMode="External"/><Relationship Id="rId6" Type="http://schemas.openxmlformats.org/officeDocument/2006/relationships/hyperlink" Target="https://aulas.descomplica.com.br/pos/pos-graduacao-em-analise-de-dados-2a94b5/turma/coleta-e-tratamento-de-dados-e29a61" TargetMode="External"/><Relationship Id="rId23" Type="http://schemas.openxmlformats.org/officeDocument/2006/relationships/hyperlink" Target="https://aulas.descomplica.com.br/pos/mba-em-big-data-e-inteligencia-competitiva-eeb8f1/turma/visualizacao-de-dados" TargetMode="External"/><Relationship Id="rId119" Type="http://schemas.openxmlformats.org/officeDocument/2006/relationships/hyperlink" Target="https://aulas.descomplica.com.br/pos/pos-graduacao-em-projetos-de-aplicativos-moveis-multiplataforma-374411/turma/atualidades-pos-graduacao-ce827c" TargetMode="External"/><Relationship Id="rId44" Type="http://schemas.openxmlformats.org/officeDocument/2006/relationships/hyperlink" Target="https://aulas.descomplica.com.br/pos/mba-em-web-3-0/turma/blockchain-arquitetura-desenvolvimento-e-aplicacoes-em-web-3-0-5b1367" TargetMode="External"/><Relationship Id="rId65" Type="http://schemas.openxmlformats.org/officeDocument/2006/relationships/hyperlink" Target="https://aulas.descomplica.com.br/pos/mba-em-seguranca-da-informacao-54164c/turma/topicos-especiais-de-carreira-52fe14" TargetMode="External"/><Relationship Id="rId86" Type="http://schemas.openxmlformats.org/officeDocument/2006/relationships/hyperlink" Target="https://aulas.descomplica.com.br/pos/pos-graduacao-em-projetos-de-cloud-computing-f04b1d/turma/gestao-do-tempo-47077c" TargetMode="External"/><Relationship Id="rId130" Type="http://schemas.openxmlformats.org/officeDocument/2006/relationships/hyperlink" Target="https://aulas.descomplica.com.br/pos/pos-graduacao-em-desenvolvimento-full-stack/turma/advanced-backend" TargetMode="External"/><Relationship Id="rId151" Type="http://schemas.openxmlformats.org/officeDocument/2006/relationships/hyperlink" Target="https://aulas.descomplica.com.br/pos/pos-graduacao-em-engenharia-de-software-dc1e5e/turma/interface-de-software-f207c2" TargetMode="External"/><Relationship Id="rId172" Type="http://schemas.openxmlformats.org/officeDocument/2006/relationships/hyperlink" Target="https://aulas.descomplica.com.br/pos/pos-graduacao-em-tecnologias-aplicadas-a-educacao-aa4b27/turma/computacao-em-nuvem-e9e37f" TargetMode="External"/><Relationship Id="rId193" Type="http://schemas.openxmlformats.org/officeDocument/2006/relationships/hyperlink" Target="https://aulas.descomplica.com.br/pos/pos-graduacao-em-privacidade-e-protecao-de-dados-pessoais-34c664/turma/topicos-especiais-de-tecnologia-44bf96" TargetMode="External"/><Relationship Id="rId13" Type="http://schemas.openxmlformats.org/officeDocument/2006/relationships/hyperlink" Target="https://aulas.descomplica.com.br/pos/pos-graduacao-em-analise-de-dados-2a94b5/turma/cloud-security-f4a25e" TargetMode="External"/><Relationship Id="rId109" Type="http://schemas.openxmlformats.org/officeDocument/2006/relationships/hyperlink" Target="https://aulas.descomplica.com.br/pos/pos-graduacao-em-projetos-de-aplicativos-moveis-multiplataforma-374411/turma/networking-essentials-2d34f4" TargetMode="External"/><Relationship Id="rId34" Type="http://schemas.openxmlformats.org/officeDocument/2006/relationships/hyperlink" Target="https://aulas.descomplica.com.br/pos/mba-em-web-3-0/turma/panorama-economico-6b3a06" TargetMode="External"/><Relationship Id="rId50" Type="http://schemas.openxmlformats.org/officeDocument/2006/relationships/hyperlink" Target="https://aulas.descomplica.com.br/pos/mba-em-seguranca-da-informacao-54164c/turma/boas-vindas--ae208f" TargetMode="External"/><Relationship Id="rId55" Type="http://schemas.openxmlformats.org/officeDocument/2006/relationships/hyperlink" Target="https://aulas.descomplica.com.br/pos/mba-em-seguranca-da-informacao-54164c/turma/cyber-threat-management" TargetMode="External"/><Relationship Id="rId76" Type="http://schemas.openxmlformats.org/officeDocument/2006/relationships/hyperlink" Target="https://aulas.descomplica.com.br/pos/pos-graduacao-em-data-science/turma/clusterizacao" TargetMode="External"/><Relationship Id="rId97" Type="http://schemas.openxmlformats.org/officeDocument/2006/relationships/hyperlink" Target="https://aulas.descomplica.com.br/pos/pos-graduacao-em-projetos-de-cloud-computing-f04b1d/turma/plataformas-de-software-na-nuvem-para-internet-das-coisas-06166b" TargetMode="External"/><Relationship Id="rId104" Type="http://schemas.openxmlformats.org/officeDocument/2006/relationships/hyperlink" Target="https://aulas.descomplica.com.br/pos/pos-graduacao-em-projetos-de-aplicativos-moveis-multiplataforma-374411/turma/analise-de-dados-e-bi-para-tomada-de-decisao-1efa92" TargetMode="External"/><Relationship Id="rId120" Type="http://schemas.openxmlformats.org/officeDocument/2006/relationships/hyperlink" Target="https://aulas.descomplica.com.br/pos/pos-graduacao-em-desenvolvimento-full-stack/turma/boas-vindas--6163cc" TargetMode="External"/><Relationship Id="rId125" Type="http://schemas.openxmlformats.org/officeDocument/2006/relationships/hyperlink" Target="https://aulas.descomplica.com.br/pos/pos-graduacao-em-desenvolvimento-full-stack/turma/advanced-front-end-c9ef11" TargetMode="External"/><Relationship Id="rId141" Type="http://schemas.openxmlformats.org/officeDocument/2006/relationships/hyperlink" Target="https://aulas.descomplica.com.br/pos/pos-graduacao-em-inteligencia-artificial-aplicada-a-growth-marketing/turma/martech-b78f9b" TargetMode="External"/><Relationship Id="rId146" Type="http://schemas.openxmlformats.org/officeDocument/2006/relationships/hyperlink" Target="https://aulas.descomplica.com.br/pos/pos-graduacao-em-inteligencia-artificial-aplicada-a-growth-marketing/turma/social-media-30e3e5" TargetMode="External"/><Relationship Id="rId167" Type="http://schemas.openxmlformats.org/officeDocument/2006/relationships/hyperlink" Target="https://aulas.descomplica.com.br/pos/pos-graduacao-em-tecnologias-aplicadas-a-educacao-aa4b27/turma/desenvolvimento-de-software-educacional" TargetMode="External"/><Relationship Id="rId188" Type="http://schemas.openxmlformats.org/officeDocument/2006/relationships/hyperlink" Target="https://aulas.descomplica.com.br/pos/pos-graduacao-em-privacidade-e-protecao-de-dados-pessoais-34c664/turma/analise-de-conformidade-com-a-lgpd" TargetMode="External"/><Relationship Id="rId7" Type="http://schemas.openxmlformats.org/officeDocument/2006/relationships/hyperlink" Target="https://aulas.descomplica.com.br/pos/pos-graduacao-em-analise-de-dados-2a94b5/turma/statistics-for-data-science-fa63e9" TargetMode="External"/><Relationship Id="rId71" Type="http://schemas.openxmlformats.org/officeDocument/2006/relationships/hyperlink" Target="https://aulas.descomplica.com.br/pos/pos-graduacao-em-data-science/turma/learning-programming-39b7a7" TargetMode="External"/><Relationship Id="rId92" Type="http://schemas.openxmlformats.org/officeDocument/2006/relationships/hyperlink" Target="https://aulas.descomplica.com.br/pos/pos-graduacao-em-projetos-de-cloud-computing-f04b1d/turma/seguranca-e-privacidade-c5fe33" TargetMode="External"/><Relationship Id="rId162" Type="http://schemas.openxmlformats.org/officeDocument/2006/relationships/hyperlink" Target="https://aulas.descomplica.com.br/pos/pos-graduacao-em-engenharia-de-software-dc1e5e/turma/gestao-do-tempo-63e51a" TargetMode="External"/><Relationship Id="rId183" Type="http://schemas.openxmlformats.org/officeDocument/2006/relationships/hyperlink" Target="https://aulas.descomplica.com.br/pos/pos-graduacao-em-privacidade-e-protecao-de-dados-pessoais-34c664/turma/governanca-e-qualidade-de-dados-4220bc" TargetMode="External"/><Relationship Id="rId2" Type="http://schemas.openxmlformats.org/officeDocument/2006/relationships/hyperlink" Target="https://aulas.descomplica.com.br/pos/pos-graduacao-em-analise-de-dados-2a94b5/turma/computacao-e-inteligencia-artificial-efffc1" TargetMode="External"/><Relationship Id="rId29" Type="http://schemas.openxmlformats.org/officeDocument/2006/relationships/hyperlink" Target="https://aulas.descomplica.com.br/pos/mba-em-big-data-e-inteligencia-competitiva-eeb8f1/turma/topicos-especiais-de-carreira-f480e8" TargetMode="External"/><Relationship Id="rId24" Type="http://schemas.openxmlformats.org/officeDocument/2006/relationships/hyperlink" Target="https://aulas.descomplica.com.br/pos/mba-em-big-data-e-inteligencia-competitiva-eeb8f1/turma/ferramentas-para-big-data" TargetMode="External"/><Relationship Id="rId40" Type="http://schemas.openxmlformats.org/officeDocument/2006/relationships/hyperlink" Target="https://aulas.descomplica.com.br/pos/mba-em-web-3-0/turma/advanced-front-end-4eeb1c" TargetMode="External"/><Relationship Id="rId45" Type="http://schemas.openxmlformats.org/officeDocument/2006/relationships/hyperlink" Target="https://aulas.descomplica.com.br/pos/mba-em-web-3-0/turma/topicos-especiais-de-tecnologia-ff97f1" TargetMode="External"/><Relationship Id="rId66" Type="http://schemas.openxmlformats.org/officeDocument/2006/relationships/hyperlink" Target="https://aulas.descomplica.com.br/pos/mba-em-seguranca-da-informacao-54164c/turma/atualidades-pos-graduacao-0fc7cb" TargetMode="External"/><Relationship Id="rId87" Type="http://schemas.openxmlformats.org/officeDocument/2006/relationships/hyperlink" Target="https://aulas.descomplica.com.br/pos/pos-graduacao-em-projetos-de-cloud-computing-f04b1d/turma/projeto-de-vida-d2a8a1" TargetMode="External"/><Relationship Id="rId110" Type="http://schemas.openxmlformats.org/officeDocument/2006/relationships/hyperlink" Target="https://aulas.descomplica.com.br/pos/pos-graduacao-em-projetos-de-aplicativos-moveis-multiplataforma-374411/turma/computacao-em-nuvem-1aa3b8" TargetMode="External"/><Relationship Id="rId115" Type="http://schemas.openxmlformats.org/officeDocument/2006/relationships/hyperlink" Target="https://aulas.descomplica.com.br/pos/pos-graduacao-em-projetos-de-aplicativos-moveis-multiplataforma-374411/turma/privacy-and-data-protection-393e3f" TargetMode="External"/><Relationship Id="rId131" Type="http://schemas.openxmlformats.org/officeDocument/2006/relationships/hyperlink" Target="https://aulas.descomplica.com.br/pos/pos-graduacao-em-desenvolvimento-full-stack/turma/cloud-diversity-aws-3392df" TargetMode="External"/><Relationship Id="rId136" Type="http://schemas.openxmlformats.org/officeDocument/2006/relationships/hyperlink" Target="https://aulas.descomplica.com.br/pos/pos-graduacao-em-desenvolvimento-full-stack/turma/atualidades-pos-graduacao-37aac6" TargetMode="External"/><Relationship Id="rId157" Type="http://schemas.openxmlformats.org/officeDocument/2006/relationships/hyperlink" Target="https://aulas.descomplica.com.br/pos/pos-graduacao-em-engenharia-de-software-dc1e5e/turma/arquitetura-de-bi-e-big-data-010c71" TargetMode="External"/><Relationship Id="rId178" Type="http://schemas.openxmlformats.org/officeDocument/2006/relationships/hyperlink" Target="https://aulas.descomplica.com.br/pos/pos-graduacao-em-tecnologias-aplicadas-a-educacao-aa4b27/turma/topicos-especiais-de-carreira-52b35b" TargetMode="External"/><Relationship Id="rId61" Type="http://schemas.openxmlformats.org/officeDocument/2006/relationships/hyperlink" Target="https://aulas.descomplica.com.br/pos/mba-em-seguranca-da-informacao-54164c/turma/privacy-and-data-protection" TargetMode="External"/><Relationship Id="rId82" Type="http://schemas.openxmlformats.org/officeDocument/2006/relationships/hyperlink" Target="https://aulas.descomplica.com.br/pos/pos-graduacao-em-data-science/turma/topicos-especiais-de-carreira-c77f98" TargetMode="External"/><Relationship Id="rId152" Type="http://schemas.openxmlformats.org/officeDocument/2006/relationships/hyperlink" Target="https://aulas.descomplica.com.br/pos/pos-graduacao-em-engenharia-de-software-dc1e5e/turma/gerenciamento-avancado-de-projetos-198e97" TargetMode="External"/><Relationship Id="rId173" Type="http://schemas.openxmlformats.org/officeDocument/2006/relationships/hyperlink" Target="https://aulas.descomplica.com.br/pos/pos-graduacao-em-tecnologias-aplicadas-a-educacao-aa4b27/turma/robotica-pedagogica" TargetMode="External"/><Relationship Id="rId194" Type="http://schemas.openxmlformats.org/officeDocument/2006/relationships/hyperlink" Target="https://aulas.descomplica.com.br/pos/pos-graduacao-em-privacidade-e-protecao-de-dados-pessoais-34c664/turma/topicos-especiais-de-diversidade-722944" TargetMode="External"/><Relationship Id="rId19" Type="http://schemas.openxmlformats.org/officeDocument/2006/relationships/hyperlink" Target="https://aulas.descomplica.com.br/pos/mba-em-big-data-e-inteligencia-competitiva-eeb8f1/turma/python-7658e4" TargetMode="External"/><Relationship Id="rId14" Type="http://schemas.openxmlformats.org/officeDocument/2006/relationships/hyperlink" Target="https://aulas.descomplica.com.br/pos/mba-em-big-data-e-inteligencia-competitiva-eeb8f1/turma/bem-vindo--84b01d" TargetMode="External"/><Relationship Id="rId30" Type="http://schemas.openxmlformats.org/officeDocument/2006/relationships/hyperlink" Target="https://aulas.descomplica.com.br/pos/mba-em-big-data-e-inteligencia-competitiva-eeb8f1/turma/atualidades-pos-graduacao-38ae07" TargetMode="External"/><Relationship Id="rId35" Type="http://schemas.openxmlformats.org/officeDocument/2006/relationships/hyperlink" Target="https://aulas.descomplica.com.br/pos/mba-em-web-3-0/turma/mercado-financeiro" TargetMode="External"/><Relationship Id="rId56" Type="http://schemas.openxmlformats.org/officeDocument/2006/relationships/hyperlink" Target="https://aulas.descomplica.com.br/pos/mba-em-seguranca-da-informacao-54164c/turma/cyberops-b83f45" TargetMode="External"/><Relationship Id="rId77" Type="http://schemas.openxmlformats.org/officeDocument/2006/relationships/hyperlink" Target="https://aulas.descomplica.com.br/pos/pos-graduacao-em-data-science/turma/regressao-e-predicao" TargetMode="External"/><Relationship Id="rId100" Type="http://schemas.openxmlformats.org/officeDocument/2006/relationships/hyperlink" Target="https://aulas.descomplica.com.br/pos/pos-graduacao-em-projetos-de-cloud-computing-f04b1d/turma/topicos-especiais-de-diversidade-fbeadb" TargetMode="External"/><Relationship Id="rId105" Type="http://schemas.openxmlformats.org/officeDocument/2006/relationships/hyperlink" Target="https://aulas.descomplica.com.br/pos/pos-graduacao-em-projetos-de-aplicativos-moveis-multiplataforma-374411/turma/gestao-agil-de-projetos-7e51a2" TargetMode="External"/><Relationship Id="rId126" Type="http://schemas.openxmlformats.org/officeDocument/2006/relationships/hyperlink" Target="https://aulas.descomplica.com.br/pos/pos-graduacao-em-desenvolvimento-full-stack/turma/essencial-database-b68d23" TargetMode="External"/><Relationship Id="rId147" Type="http://schemas.openxmlformats.org/officeDocument/2006/relationships/hyperlink" Target="https://aulas.descomplica.com.br/pos/pos-graduacao-em-inteligencia-artificial-aplicada-a-growth-marketing/turma/estrategia-de-marketing-cdc5b9" TargetMode="External"/><Relationship Id="rId168" Type="http://schemas.openxmlformats.org/officeDocument/2006/relationships/hyperlink" Target="https://aulas.descomplica.com.br/pos/pos-graduacao-em-tecnologias-aplicadas-a-educacao-aa4b27/turma/narrativas-roteiro-e-storyboard-e6402e" TargetMode="External"/><Relationship Id="rId8" Type="http://schemas.openxmlformats.org/officeDocument/2006/relationships/hyperlink" Target="https://aulas.descomplica.com.br/pos/pos-graduacao-em-analise-de-dados-2a94b5/turma/statistics-library-in-python-335a05" TargetMode="External"/><Relationship Id="rId51" Type="http://schemas.openxmlformats.org/officeDocument/2006/relationships/hyperlink" Target="https://aulas.descomplica.com.br/pos/mba-em-seguranca-da-informacao-54164c/turma/cybersecurity-essentials-3e2ae0" TargetMode="External"/><Relationship Id="rId72" Type="http://schemas.openxmlformats.org/officeDocument/2006/relationships/hyperlink" Target="https://aulas.descomplica.com.br/pos/pos-graduacao-em-data-science/turma/essencial-database-17a09c" TargetMode="External"/><Relationship Id="rId93" Type="http://schemas.openxmlformats.org/officeDocument/2006/relationships/hyperlink" Target="https://aulas.descomplica.com.br/pos/pos-graduacao-em-projetos-de-cloud-computing-f04b1d/turma/redes-de-comunicacao-protocolos-e-roteamento-dc6bd6" TargetMode="External"/><Relationship Id="rId98" Type="http://schemas.openxmlformats.org/officeDocument/2006/relationships/hyperlink" Target="https://aulas.descomplica.com.br/pos/pos-graduacao-em-projetos-de-cloud-computing-f04b1d/turma/seguranca-em-infraestrutura-de-redes-e-computacao-movel-29f0a1" TargetMode="External"/><Relationship Id="rId121" Type="http://schemas.openxmlformats.org/officeDocument/2006/relationships/hyperlink" Target="https://aulas.descomplica.com.br/pos/pos-graduacao-em-desenvolvimento-full-stack/turma/logica-de-programacao-com-java-5942d0" TargetMode="External"/><Relationship Id="rId142" Type="http://schemas.openxmlformats.org/officeDocument/2006/relationships/hyperlink" Target="https://aulas.descomplica.com.br/pos/pos-graduacao-em-inteligencia-artificial-aplicada-a-growth-marketing/turma/ferramentas-de-ai-para-nao-programadores" TargetMode="External"/><Relationship Id="rId163" Type="http://schemas.openxmlformats.org/officeDocument/2006/relationships/hyperlink" Target="https://aulas.descomplica.com.br/pos/pos-graduacao-em-tecnologias-aplicadas-a-educacao-aa4b27/turma/gestao-do-tempo-0ad014" TargetMode="External"/><Relationship Id="rId184" Type="http://schemas.openxmlformats.org/officeDocument/2006/relationships/hyperlink" Target="https://aulas.descomplica.com.br/pos/pos-graduacao-em-privacidade-e-protecao-de-dados-pessoais-34c664/turma/o-ecossistema-da-lgpd" TargetMode="External"/><Relationship Id="rId189" Type="http://schemas.openxmlformats.org/officeDocument/2006/relationships/hyperlink" Target="https://aulas.descomplica.com.br/pos/pos-graduacao-em-privacidade-e-protecao-de-dados-pessoais-34c664/turma/computacao-em-nuvem-5fce44" TargetMode="External"/><Relationship Id="rId3" Type="http://schemas.openxmlformats.org/officeDocument/2006/relationships/hyperlink" Target="https://aulas.descomplica.com.br/pos/pos-graduacao-em-analise-de-dados-2a94b5/turma/essencial-database-0ff818" TargetMode="External"/><Relationship Id="rId25" Type="http://schemas.openxmlformats.org/officeDocument/2006/relationships/hyperlink" Target="https://aulas.descomplica.com.br/pos/mba-em-big-data-e-inteligencia-competitiva-eeb8f1/turma/data-integration-ingestion-quality-0d8d49" TargetMode="External"/><Relationship Id="rId46" Type="http://schemas.openxmlformats.org/officeDocument/2006/relationships/hyperlink" Target="https://aulas.descomplica.com.br/pos/mba-em-web-3-0/turma/topicos-especiais-de-diversidade-93d77c" TargetMode="External"/><Relationship Id="rId67" Type="http://schemas.openxmlformats.org/officeDocument/2006/relationships/hyperlink" Target="https://aulas.descomplica.com.br/pos/mba-em-seguranca-da-informacao-54164c/turma/gestao-do-tempo-18584a" TargetMode="External"/><Relationship Id="rId116" Type="http://schemas.openxmlformats.org/officeDocument/2006/relationships/hyperlink" Target="https://aulas.descomplica.com.br/pos/pos-graduacao-em-projetos-de-aplicativos-moveis-multiplataforma-374411/turma/topicos-especiais-de-tecnologia-ccfde6" TargetMode="External"/><Relationship Id="rId137" Type="http://schemas.openxmlformats.org/officeDocument/2006/relationships/hyperlink" Target="https://aulas.descomplica.com.br/pos/pos-graduacao-em-desenvolvimento-full-stack/turma/gestao-do-tempo-e10e7e" TargetMode="External"/><Relationship Id="rId158" Type="http://schemas.openxmlformats.org/officeDocument/2006/relationships/hyperlink" Target="https://aulas.descomplica.com.br/pos/pos-graduacao-em-engenharia-de-software-dc1e5e/turma/plataformas-para-desenvolvimento-em-nuvem" TargetMode="External"/><Relationship Id="rId20" Type="http://schemas.openxmlformats.org/officeDocument/2006/relationships/hyperlink" Target="https://aulas.descomplica.com.br/pos/mba-em-big-data-e-inteligencia-competitiva-eeb8f1/turma/linguagem-r-cfc84f" TargetMode="External"/><Relationship Id="rId41" Type="http://schemas.openxmlformats.org/officeDocument/2006/relationships/hyperlink" Target="https://aulas.descomplica.com.br/pos/mba-em-web-3-0/turma/python-d6256a" TargetMode="External"/><Relationship Id="rId62" Type="http://schemas.openxmlformats.org/officeDocument/2006/relationships/hyperlink" Target="https://aulas.descomplica.com.br/pos/mba-em-seguranca-da-informacao-54164c/turma/data-mapping-and-privacy-governance-f44072" TargetMode="External"/><Relationship Id="rId83" Type="http://schemas.openxmlformats.org/officeDocument/2006/relationships/hyperlink" Target="https://aulas.descomplica.com.br/pos/pos-graduacao-em-data-science/turma/topicos-especiais-de-diversidade-4389d0" TargetMode="External"/><Relationship Id="rId88" Type="http://schemas.openxmlformats.org/officeDocument/2006/relationships/hyperlink" Target="https://aulas.descomplica.com.br/pos/pos-graduacao-em-projetos-de-cloud-computing-f04b1d/turma/coaching-e-planejamento-de-carreira-67468c" TargetMode="External"/><Relationship Id="rId111" Type="http://schemas.openxmlformats.org/officeDocument/2006/relationships/hyperlink" Target="https://aulas.descomplica.com.br/pos/pos-graduacao-em-projetos-de-aplicativos-moveis-multiplataforma-374411/turma/mercado-de-aplicacoes-moveis-6f441c" TargetMode="External"/><Relationship Id="rId132" Type="http://schemas.openxmlformats.org/officeDocument/2006/relationships/hyperlink" Target="https://aulas.descomplica.com.br/pos/pos-graduacao-em-desenvolvimento-full-stack/turma/hero-cloud-developer" TargetMode="External"/><Relationship Id="rId153" Type="http://schemas.openxmlformats.org/officeDocument/2006/relationships/hyperlink" Target="https://aulas.descomplica.com.br/pos/pos-graduacao-em-engenharia-de-software-dc1e5e/turma/metodologias-de-desenvolvimento-de-software-3c7909" TargetMode="External"/><Relationship Id="rId174" Type="http://schemas.openxmlformats.org/officeDocument/2006/relationships/hyperlink" Target="https://aulas.descomplica.com.br/pos/pos-graduacao-em-tecnologias-aplicadas-a-educacao-aa4b27/turma/jogos-educacionais" TargetMode="External"/><Relationship Id="rId179" Type="http://schemas.openxmlformats.org/officeDocument/2006/relationships/hyperlink" Target="https://aulas.descomplica.com.br/pos/pos-graduacao-em-tecnologias-aplicadas-a-educacao-aa4b27/turma/atualidades-pos-graduacao-e9ba49" TargetMode="External"/><Relationship Id="rId195" Type="http://schemas.openxmlformats.org/officeDocument/2006/relationships/hyperlink" Target="https://aulas.descomplica.com.br/pos/pos-graduacao-em-privacidade-e-protecao-de-dados-pessoais-34c664/turma/topicos-especiais-de-carreira-2893bf" TargetMode="External"/><Relationship Id="rId190" Type="http://schemas.openxmlformats.org/officeDocument/2006/relationships/hyperlink" Target="https://aulas.descomplica.com.br/pos/pos-graduacao-em-privacidade-e-protecao-de-dados-pessoais-34c664/turma/tratamento-e-resposta-a-incidentes" TargetMode="External"/><Relationship Id="rId15" Type="http://schemas.openxmlformats.org/officeDocument/2006/relationships/hyperlink" Target="https://aulas.descomplica.com.br/pos/mba-em-big-data-e-inteligencia-competitiva-eeb8f1/turma/data-analytics-e-big-data-para-tomada-de-decisao-f456ed" TargetMode="External"/><Relationship Id="rId36" Type="http://schemas.openxmlformats.org/officeDocument/2006/relationships/hyperlink" Target="https://aulas.descomplica.com.br/pos/mba-em-web-3-0/turma/criptomoedas" TargetMode="External"/><Relationship Id="rId57" Type="http://schemas.openxmlformats.org/officeDocument/2006/relationships/hyperlink" Target="https://aulas.descomplica.com.br/pos/mba-em-seguranca-da-informacao-54164c/turma/network-security-464767" TargetMode="External"/><Relationship Id="rId106" Type="http://schemas.openxmlformats.org/officeDocument/2006/relationships/hyperlink" Target="https://aulas.descomplica.com.br/pos/pos-graduacao-em-projetos-de-aplicativos-moveis-multiplataforma-374411/turma/fundamentos-da-gestao-de-projetos-33486e" TargetMode="External"/><Relationship Id="rId127" Type="http://schemas.openxmlformats.org/officeDocument/2006/relationships/hyperlink" Target="https://aulas.descomplica.com.br/pos/pos-graduacao-em-desenvolvimento-full-stack/turma/strategies-backend-e92791" TargetMode="External"/><Relationship Id="rId10" Type="http://schemas.openxmlformats.org/officeDocument/2006/relationships/hyperlink" Target="https://aulas.descomplica.com.br/pos/pos-graduacao-em-analise-de-dados-2a94b5/turma/data-analytics-e-big-data-para-tomada-de-decisao-8af4d3" TargetMode="External"/><Relationship Id="rId31" Type="http://schemas.openxmlformats.org/officeDocument/2006/relationships/hyperlink" Target="https://aulas.descomplica.com.br/pos/mba-em-big-data-e-inteligencia-competitiva-eeb8f1/turma/gestao-do-tempo-d09124" TargetMode="External"/><Relationship Id="rId52" Type="http://schemas.openxmlformats.org/officeDocument/2006/relationships/hyperlink" Target="https://aulas.descomplica.com.br/pos/mba-em-seguranca-da-informacao-54164c/turma/networking-essentials-461344" TargetMode="External"/><Relationship Id="rId73" Type="http://schemas.openxmlformats.org/officeDocument/2006/relationships/hyperlink" Target="https://aulas.descomplica.com.br/pos/pos-graduacao-em-data-science/turma/coleta-e-tratamento-de-dados" TargetMode="External"/><Relationship Id="rId78" Type="http://schemas.openxmlformats.org/officeDocument/2006/relationships/hyperlink" Target="https://aulas.descomplica.com.br/pos/pos-graduacao-em-data-science/turma/deep-learning" TargetMode="External"/><Relationship Id="rId94" Type="http://schemas.openxmlformats.org/officeDocument/2006/relationships/hyperlink" Target="https://aulas.descomplica.com.br/pos/pos-graduacao-em-projetos-de-cloud-computing-f04b1d/turma/qualidade-recursos-comunicacao-e-riscos-de-projetos-bcf065" TargetMode="External"/><Relationship Id="rId99" Type="http://schemas.openxmlformats.org/officeDocument/2006/relationships/hyperlink" Target="https://aulas.descomplica.com.br/pos/pos-graduacao-em-projetos-de-cloud-computing-f04b1d/turma/topicos-especiais-de-tecnologia-fbb45f" TargetMode="External"/><Relationship Id="rId101" Type="http://schemas.openxmlformats.org/officeDocument/2006/relationships/hyperlink" Target="https://aulas.descomplica.com.br/pos/pos-graduacao-em-projetos-de-cloud-computing-f04b1d/turma/topicos-especiais-de-carreira-079fcb" TargetMode="External"/><Relationship Id="rId122" Type="http://schemas.openxmlformats.org/officeDocument/2006/relationships/hyperlink" Target="https://aulas.descomplica.com.br/pos/pos-graduacao-em-desenvolvimento-full-stack/turma/interface-de-software-009490" TargetMode="External"/><Relationship Id="rId143" Type="http://schemas.openxmlformats.org/officeDocument/2006/relationships/hyperlink" Target="https://aulas.descomplica.com.br/pos/pos-graduacao-em-inteligencia-artificial-aplicada-a-growth-marketing/turma/content-development-178c10" TargetMode="External"/><Relationship Id="rId148" Type="http://schemas.openxmlformats.org/officeDocument/2006/relationships/hyperlink" Target="https://aulas.descomplica.com.br/pos/pos-graduacao-em-inteligencia-artificial-aplicada-a-growth-marketing/turma/redes-neurais-e-inteligencia-artificial-aplicada" TargetMode="External"/><Relationship Id="rId164" Type="http://schemas.openxmlformats.org/officeDocument/2006/relationships/hyperlink" Target="https://aulas.descomplica.com.br/pos/pos-graduacao-em-tecnologias-aplicadas-a-educacao-aa4b27/turma/projeto-de-vida-bb0d03" TargetMode="External"/><Relationship Id="rId169" Type="http://schemas.openxmlformats.org/officeDocument/2006/relationships/hyperlink" Target="https://aulas.descomplica.com.br/pos/pos-graduacao-em-tecnologias-aplicadas-a-educacao-aa4b27/turma/seguranca-e-privacidade-ebc1e9" TargetMode="External"/><Relationship Id="rId185" Type="http://schemas.openxmlformats.org/officeDocument/2006/relationships/hyperlink" Target="https://aulas.descomplica.com.br/pos/pos-graduacao-em-privacidade-e-protecao-de-dados-pessoais-34c664/turma/narrativas-roteiro-e-storyboard-701137" TargetMode="External"/><Relationship Id="rId4" Type="http://schemas.openxmlformats.org/officeDocument/2006/relationships/hyperlink" Target="https://aulas.descomplica.com.br/pos/pos-graduacao-em-analise-de-dados-2a94b5/turma/big-data-analytics-37cf7b" TargetMode="External"/><Relationship Id="rId9" Type="http://schemas.openxmlformats.org/officeDocument/2006/relationships/hyperlink" Target="https://aulas.descomplica.com.br/pos/pos-graduacao-em-analise-de-dados-2a94b5/turma/ferramentas-para-big-data-04846c" TargetMode="External"/><Relationship Id="rId180" Type="http://schemas.openxmlformats.org/officeDocument/2006/relationships/hyperlink" Target="https://aulas.descomplica.com.br/pos/pos-graduacao-em-privacidade-e-protecao-de-dados-pessoais-34c664/turma/gestao-do-tempo-d0d9d2" TargetMode="External"/><Relationship Id="rId26" Type="http://schemas.openxmlformats.org/officeDocument/2006/relationships/hyperlink" Target="https://aulas.descomplica.com.br/pos/mba-em-big-data-e-inteligencia-competitiva-eeb8f1/turma/big-data-analytics-83864f" TargetMode="External"/><Relationship Id="rId47" Type="http://schemas.openxmlformats.org/officeDocument/2006/relationships/hyperlink" Target="https://aulas.descomplica.com.br/pos/mba-em-web-3-0/turma/topicos-especiais-de-carreira-7e1d40" TargetMode="External"/><Relationship Id="rId68" Type="http://schemas.openxmlformats.org/officeDocument/2006/relationships/hyperlink" Target="https://aulas.descomplica.com.br/pos/pos-graduacao-em-data-science/turma/boas-vindas--d496a3" TargetMode="External"/><Relationship Id="rId89" Type="http://schemas.openxmlformats.org/officeDocument/2006/relationships/hyperlink" Target="https://aulas.descomplica.com.br/pos/pos-graduacao-em-projetos-de-cloud-computing-f04b1d/turma/governanca-e-qualidade-de-dados-36b0ec" TargetMode="External"/><Relationship Id="rId112" Type="http://schemas.openxmlformats.org/officeDocument/2006/relationships/hyperlink" Target="https://aulas.descomplica.com.br/pos/pos-graduacao-em-projetos-de-aplicativos-moveis-multiplataforma-374411/turma/desenvolvimento-em-plataformas-hibridas-flutter-fd54cb" TargetMode="External"/><Relationship Id="rId133" Type="http://schemas.openxmlformats.org/officeDocument/2006/relationships/hyperlink" Target="https://aulas.descomplica.com.br/pos/pos-graduacao-em-desenvolvimento-full-stack/turma/topicos-especiais-de-direito-f7a47a" TargetMode="External"/><Relationship Id="rId154" Type="http://schemas.openxmlformats.org/officeDocument/2006/relationships/hyperlink" Target="https://aulas.descomplica.com.br/pos/pos-graduacao-em-engenharia-de-software-dc1e5e/turma/programacao-extrema-eee304" TargetMode="External"/><Relationship Id="rId175" Type="http://schemas.openxmlformats.org/officeDocument/2006/relationships/hyperlink" Target="https://aulas.descomplica.com.br/pos/pos-graduacao-em-tecnologias-aplicadas-a-educacao-aa4b27/turma/recursos-audiovisuais-utilizados-na-educacao" TargetMode="External"/><Relationship Id="rId196" Type="http://schemas.openxmlformats.org/officeDocument/2006/relationships/hyperlink" Target="https://aulas.descomplica.com.br/pos/pos-graduacao-em-privacidade-e-protecao-de-dados-pessoais-34c664/turma/atualidades-pos-graduacao-96d6a4" TargetMode="External"/><Relationship Id="rId16" Type="http://schemas.openxmlformats.org/officeDocument/2006/relationships/hyperlink" Target="https://aulas.descomplica.com.br/pos/mba-em-big-data-e-inteligencia-competitiva-eeb8f1/turma/statistics-for-data-science-8c75b8" TargetMode="External"/><Relationship Id="rId37" Type="http://schemas.openxmlformats.org/officeDocument/2006/relationships/hyperlink" Target="https://aulas.descomplica.com.br/pos/mba-em-web-3-0/turma/nft-conceitos-e-criacao" TargetMode="External"/><Relationship Id="rId58" Type="http://schemas.openxmlformats.org/officeDocument/2006/relationships/hyperlink" Target="https://aulas.descomplica.com.br/pos/mba-em-seguranca-da-informacao-54164c/turma/cloud-security-18123d" TargetMode="External"/><Relationship Id="rId79" Type="http://schemas.openxmlformats.org/officeDocument/2006/relationships/hyperlink" Target="https://aulas.descomplica.com.br/pos/pos-graduacao-em-data-science/turma/network-science" TargetMode="External"/><Relationship Id="rId102" Type="http://schemas.openxmlformats.org/officeDocument/2006/relationships/hyperlink" Target="https://aulas.descomplica.com.br/pos/pos-graduacao-em-projetos-de-cloud-computing-f04b1d/turma/atualidades-pos-graduacao-cff906" TargetMode="External"/><Relationship Id="rId123" Type="http://schemas.openxmlformats.org/officeDocument/2006/relationships/hyperlink" Target="https://aulas.descomplica.com.br/pos/pos-graduacao-em-desenvolvimento-full-stack/turma/practitioner-front-end-211376" TargetMode="External"/><Relationship Id="rId144" Type="http://schemas.openxmlformats.org/officeDocument/2006/relationships/hyperlink" Target="https://aulas.descomplica.com.br/pos/pos-graduacao-em-inteligencia-artificial-aplicada-a-growth-marketing/turma/jornada-do-consumidor-3b85bb" TargetMode="External"/><Relationship Id="rId90" Type="http://schemas.openxmlformats.org/officeDocument/2006/relationships/hyperlink" Target="https://aulas.descomplica.com.br/pos/pos-graduacao-em-projetos-de-cloud-computing-f04b1d/turma/da-iniciacao-ao-orcamento-do-projeto-5c4648" TargetMode="External"/><Relationship Id="rId165" Type="http://schemas.openxmlformats.org/officeDocument/2006/relationships/hyperlink" Target="https://aulas.descomplica.com.br/pos/pos-graduacao-em-tecnologias-aplicadas-a-educacao-aa4b27/turma/coaching-e-planejamento-de-carreira-ab6ad8" TargetMode="External"/><Relationship Id="rId186" Type="http://schemas.openxmlformats.org/officeDocument/2006/relationships/hyperlink" Target="https://aulas.descomplica.com.br/pos/pos-graduacao-em-privacidade-e-protecao-de-dados-pessoais-34c664/turma/seguranca-e-privacidade-c311e3" TargetMode="External"/><Relationship Id="rId27" Type="http://schemas.openxmlformats.org/officeDocument/2006/relationships/hyperlink" Target="https://aulas.descomplica.com.br/pos/mba-em-big-data-e-inteligencia-competitiva-eeb8f1/turma/topicos-especiais-de-tecnologia-2505a3" TargetMode="External"/><Relationship Id="rId48" Type="http://schemas.openxmlformats.org/officeDocument/2006/relationships/hyperlink" Target="https://aulas.descomplica.com.br/pos/mba-em-web-3-0/turma/atualidades-pos-graduacao-376e0a" TargetMode="External"/><Relationship Id="rId69" Type="http://schemas.openxmlformats.org/officeDocument/2006/relationships/hyperlink" Target="https://aulas.descomplica.com.br/pos/pos-graduacao-em-data-science/turma/python-8492e1" TargetMode="External"/><Relationship Id="rId113" Type="http://schemas.openxmlformats.org/officeDocument/2006/relationships/hyperlink" Target="https://aulas.descomplica.com.br/pos/pos-graduacao-em-projetos-de-aplicativos-moveis-multiplataforma-374411/turma/desenvolvimento-em-plataformas-hibridas-react-native-a359be" TargetMode="External"/><Relationship Id="rId134" Type="http://schemas.openxmlformats.org/officeDocument/2006/relationships/hyperlink" Target="https://aulas.descomplica.com.br/pos/pos-graduacao-em-desenvolvimento-full-stack/turma/topicos-especiais-de-diversidade-5088e1" TargetMode="External"/><Relationship Id="rId80" Type="http://schemas.openxmlformats.org/officeDocument/2006/relationships/hyperlink" Target="https://aulas.descomplica.com.br/pos/pos-graduacao-em-data-science/turma/perceptron-e-adaline-cec6c0" TargetMode="External"/><Relationship Id="rId155" Type="http://schemas.openxmlformats.org/officeDocument/2006/relationships/hyperlink" Target="https://aulas.descomplica.com.br/pos/pos-graduacao-em-engenharia-de-software-dc1e5e/turma/essencial-database-b466b5" TargetMode="External"/><Relationship Id="rId176" Type="http://schemas.openxmlformats.org/officeDocument/2006/relationships/hyperlink" Target="https://aulas.descomplica.com.br/pos/pos-graduacao-em-tecnologias-aplicadas-a-educacao-aa4b27/turma/topicos-especiais-de-tecnologia-7df69a" TargetMode="External"/><Relationship Id="rId17" Type="http://schemas.openxmlformats.org/officeDocument/2006/relationships/hyperlink" Target="https://aulas.descomplica.com.br/pos/mba-em-big-data-e-inteligencia-competitiva-eeb8f1/turma/essencial-database-12b774" TargetMode="External"/><Relationship Id="rId38" Type="http://schemas.openxmlformats.org/officeDocument/2006/relationships/hyperlink" Target="https://aulas.descomplica.com.br/pos/mba-em-web-3-0/turma/practitioner-front-end-f2c5e8" TargetMode="External"/><Relationship Id="rId59" Type="http://schemas.openxmlformats.org/officeDocument/2006/relationships/hyperlink" Target="https://aulas.descomplica.com.br/pos/mba-em-seguranca-da-informacao-54164c/turma/iot-security" TargetMode="External"/><Relationship Id="rId103" Type="http://schemas.openxmlformats.org/officeDocument/2006/relationships/hyperlink" Target="https://aulas.descomplica.com.br/pos/pos-graduacao-em-projetos-de-aplicativos-moveis-multiplataforma-374411/turma/gestao-do-tempo-7adbe3" TargetMode="External"/><Relationship Id="rId124" Type="http://schemas.openxmlformats.org/officeDocument/2006/relationships/hyperlink" Target="https://aulas.descomplica.com.br/pos/pos-graduacao-em-desenvolvimento-full-stack/turma/intermediary-front-end-acedf0" TargetMode="External"/><Relationship Id="rId70" Type="http://schemas.openxmlformats.org/officeDocument/2006/relationships/hyperlink" Target="https://aulas.descomplica.com.br/pos/pos-graduacao-em-data-science/turma/statistics-for-data-science-4cc58c" TargetMode="External"/><Relationship Id="rId91" Type="http://schemas.openxmlformats.org/officeDocument/2006/relationships/hyperlink" Target="https://aulas.descomplica.com.br/pos/pos-graduacao-em-projetos-de-cloud-computing-f04b1d/turma/narrativas-roteiro-e-storyboard-5f53be" TargetMode="External"/><Relationship Id="rId145" Type="http://schemas.openxmlformats.org/officeDocument/2006/relationships/hyperlink" Target="https://aulas.descomplica.com.br/pos/pos-graduacao-em-inteligencia-artificial-aplicada-a-growth-marketing/turma/growth-hacking-b466da" TargetMode="External"/><Relationship Id="rId166" Type="http://schemas.openxmlformats.org/officeDocument/2006/relationships/hyperlink" Target="https://aulas.descomplica.com.br/pos/pos-graduacao-em-tecnologias-aplicadas-a-educacao-aa4b27/turma/governanca-e-qualidade-de-dados-6f5067" TargetMode="External"/><Relationship Id="rId187" Type="http://schemas.openxmlformats.org/officeDocument/2006/relationships/hyperlink" Target="https://aulas.descomplica.com.br/pos/pos-graduacao-em-privacidade-e-protecao-de-dados-pessoais-34c664/turma/redes-de-comunicacao-protocolos-e-roteamento-c87585" TargetMode="External"/><Relationship Id="rId1" Type="http://schemas.openxmlformats.org/officeDocument/2006/relationships/hyperlink" Target="https://aulas.descomplica.com.br/pos/pos-graduacao-em-analise-de-dados-2a94b5/turma/estatistica-aplicada-a-negocios-b4022e" TargetMode="External"/><Relationship Id="rId28" Type="http://schemas.openxmlformats.org/officeDocument/2006/relationships/hyperlink" Target="https://aulas.descomplica.com.br/pos/mba-em-big-data-e-inteligencia-competitiva-eeb8f1/turma/topicos-especiais-de-diversidade-a73043" TargetMode="External"/><Relationship Id="rId49" Type="http://schemas.openxmlformats.org/officeDocument/2006/relationships/hyperlink" Target="https://aulas.descomplica.com.br/pos/mba-em-web-3-0/turma/gestao-do-tempo-cf425e" TargetMode="External"/><Relationship Id="rId114" Type="http://schemas.openxmlformats.org/officeDocument/2006/relationships/hyperlink" Target="https://aulas.descomplica.com.br/pos/pos-graduacao-em-projetos-de-aplicativos-moveis-multiplataforma-374411/turma/practitioner-front-end-3ebb29" TargetMode="External"/><Relationship Id="rId60" Type="http://schemas.openxmlformats.org/officeDocument/2006/relationships/hyperlink" Target="https://aulas.descomplica.com.br/pos/mba-em-seguranca-da-informacao-54164c/turma/computer-security-incident-response-teams" TargetMode="External"/><Relationship Id="rId81" Type="http://schemas.openxmlformats.org/officeDocument/2006/relationships/hyperlink" Target="https://aulas.descomplica.com.br/pos/pos-graduacao-em-data-science/turma/topicos-especiais-de-tecnologia-1445e9" TargetMode="External"/><Relationship Id="rId135" Type="http://schemas.openxmlformats.org/officeDocument/2006/relationships/hyperlink" Target="https://aulas.descomplica.com.br/pos/pos-graduacao-em-desenvolvimento-full-stack/turma/topicos-especiais-de-carreira-db4e35" TargetMode="External"/><Relationship Id="rId156" Type="http://schemas.openxmlformats.org/officeDocument/2006/relationships/hyperlink" Target="https://aulas.descomplica.com.br/pos/pos-graduacao-em-engenharia-de-software-dc1e5e/turma/estruturas-de-dados-para-sistemas-inteligentes-479334" TargetMode="External"/><Relationship Id="rId177" Type="http://schemas.openxmlformats.org/officeDocument/2006/relationships/hyperlink" Target="https://aulas.descomplica.com.br/pos/pos-graduacao-em-tecnologias-aplicadas-a-educacao-aa4b27/turma/topicos-especiais-de-diversidade-c82ea4" TargetMode="External"/><Relationship Id="rId18" Type="http://schemas.openxmlformats.org/officeDocument/2006/relationships/hyperlink" Target="https://aulas.descomplica.com.br/pos/mba-em-big-data-e-inteligencia-competitiva-eeb8f1/turma/arquitetura-e-modelagem-de-dados-81b386" TargetMode="External"/><Relationship Id="rId39" Type="http://schemas.openxmlformats.org/officeDocument/2006/relationships/hyperlink" Target="https://aulas.descomplica.com.br/pos/mba-em-web-3-0/turma/intermediary-front-end-add4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8675-9C18-4A37-A1C5-DBE614199DB5}">
  <dimension ref="A1:D13"/>
  <sheetViews>
    <sheetView tabSelected="1" workbookViewId="0">
      <selection activeCell="B2" sqref="B2:B13"/>
    </sheetView>
  </sheetViews>
  <sheetFormatPr defaultRowHeight="15" x14ac:dyDescent="0.25"/>
  <cols>
    <col min="1" max="1" width="3.28515625" bestFit="1" customWidth="1"/>
    <col min="2" max="2" width="84.7109375" bestFit="1" customWidth="1"/>
    <col min="3" max="3" width="8.42578125" bestFit="1" customWidth="1"/>
    <col min="4" max="4" width="10.5703125" bestFit="1" customWidth="1"/>
  </cols>
  <sheetData>
    <row r="1" spans="1:4" x14ac:dyDescent="0.25">
      <c r="A1" s="1" t="s">
        <v>13</v>
      </c>
      <c r="B1" s="1" t="s">
        <v>12</v>
      </c>
      <c r="C1" s="1" t="s">
        <v>14</v>
      </c>
      <c r="D1" s="1" t="s">
        <v>162</v>
      </c>
    </row>
    <row r="2" spans="1:4" ht="19.5" x14ac:dyDescent="0.25">
      <c r="A2" s="2">
        <v>1</v>
      </c>
      <c r="B2" s="5" t="s">
        <v>8</v>
      </c>
      <c r="C2" s="2">
        <v>1</v>
      </c>
      <c r="D2" s="4" t="s">
        <v>163</v>
      </c>
    </row>
    <row r="3" spans="1:4" ht="19.5" x14ac:dyDescent="0.25">
      <c r="A3" s="10">
        <f>A2+1</f>
        <v>2</v>
      </c>
      <c r="B3" s="3" t="s">
        <v>0</v>
      </c>
      <c r="C3" s="2">
        <v>2</v>
      </c>
      <c r="D3" s="4" t="s">
        <v>163</v>
      </c>
    </row>
    <row r="4" spans="1:4" ht="19.5" x14ac:dyDescent="0.25">
      <c r="A4" s="2">
        <f t="shared" ref="A4:A13" si="0">A3+1</f>
        <v>3</v>
      </c>
      <c r="B4" s="5" t="s">
        <v>3</v>
      </c>
      <c r="C4" s="2">
        <v>3</v>
      </c>
      <c r="D4" s="4" t="s">
        <v>163</v>
      </c>
    </row>
    <row r="5" spans="1:4" ht="19.5" x14ac:dyDescent="0.25">
      <c r="A5" s="2">
        <f t="shared" si="0"/>
        <v>4</v>
      </c>
      <c r="B5" s="5" t="s">
        <v>4</v>
      </c>
      <c r="C5" s="2">
        <v>4</v>
      </c>
      <c r="D5" s="4" t="s">
        <v>163</v>
      </c>
    </row>
    <row r="6" spans="1:4" ht="19.5" x14ac:dyDescent="0.25">
      <c r="A6" s="2">
        <f t="shared" si="0"/>
        <v>5</v>
      </c>
      <c r="B6" s="5" t="s">
        <v>9</v>
      </c>
      <c r="C6" s="2">
        <v>5</v>
      </c>
      <c r="D6" s="4" t="s">
        <v>164</v>
      </c>
    </row>
    <row r="7" spans="1:4" ht="19.5" x14ac:dyDescent="0.25">
      <c r="A7" s="2">
        <f t="shared" si="0"/>
        <v>6</v>
      </c>
      <c r="B7" s="6" t="s">
        <v>11</v>
      </c>
      <c r="C7" s="2">
        <v>6</v>
      </c>
      <c r="D7" s="4" t="s">
        <v>164</v>
      </c>
    </row>
    <row r="8" spans="1:4" ht="19.5" x14ac:dyDescent="0.25">
      <c r="A8" s="2">
        <f t="shared" si="0"/>
        <v>7</v>
      </c>
      <c r="B8" s="5" t="s">
        <v>6</v>
      </c>
      <c r="C8" s="2">
        <v>7</v>
      </c>
      <c r="D8" s="4" t="s">
        <v>164</v>
      </c>
    </row>
    <row r="9" spans="1:4" ht="19.5" x14ac:dyDescent="0.25">
      <c r="A9" s="2">
        <f t="shared" si="0"/>
        <v>8</v>
      </c>
      <c r="B9" s="5" t="s">
        <v>5</v>
      </c>
      <c r="C9" s="2">
        <v>8</v>
      </c>
      <c r="D9" s="4" t="s">
        <v>164</v>
      </c>
    </row>
    <row r="10" spans="1:4" ht="19.5" x14ac:dyDescent="0.25">
      <c r="A10" s="2">
        <f t="shared" si="0"/>
        <v>9</v>
      </c>
      <c r="B10" s="5" t="s">
        <v>1</v>
      </c>
      <c r="C10" s="2">
        <v>9</v>
      </c>
      <c r="D10" s="4" t="s">
        <v>165</v>
      </c>
    </row>
    <row r="11" spans="1:4" ht="19.5" x14ac:dyDescent="0.25">
      <c r="A11" s="2">
        <f t="shared" si="0"/>
        <v>10</v>
      </c>
      <c r="B11" s="5" t="s">
        <v>2</v>
      </c>
      <c r="C11" s="2">
        <v>10</v>
      </c>
      <c r="D11" s="4" t="s">
        <v>165</v>
      </c>
    </row>
    <row r="12" spans="1:4" ht="19.5" x14ac:dyDescent="0.25">
      <c r="A12" s="2">
        <f t="shared" si="0"/>
        <v>11</v>
      </c>
      <c r="B12" s="5" t="s">
        <v>7</v>
      </c>
      <c r="C12" s="2">
        <v>11</v>
      </c>
      <c r="D12" s="4" t="s">
        <v>165</v>
      </c>
    </row>
    <row r="13" spans="1:4" ht="19.5" x14ac:dyDescent="0.25">
      <c r="A13" s="2">
        <f t="shared" si="0"/>
        <v>12</v>
      </c>
      <c r="B13" s="5" t="s">
        <v>10</v>
      </c>
      <c r="C13" s="2">
        <v>12</v>
      </c>
      <c r="D13" s="4" t="s">
        <v>165</v>
      </c>
    </row>
  </sheetData>
  <sortState xmlns:xlrd2="http://schemas.microsoft.com/office/spreadsheetml/2017/richdata2" ref="B2:D13">
    <sortCondition ref="C2:C1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7B97-303F-480E-A92A-F11B8F483FE2}">
  <dimension ref="A1:D233"/>
  <sheetViews>
    <sheetView workbookViewId="0">
      <selection activeCell="D1" sqref="D1"/>
    </sheetView>
  </sheetViews>
  <sheetFormatPr defaultColWidth="9.140625" defaultRowHeight="15" x14ac:dyDescent="0.25"/>
  <cols>
    <col min="1" max="1" width="78.5703125" customWidth="1"/>
    <col min="2" max="2" width="39" customWidth="1"/>
    <col min="3" max="3" width="78.5703125" customWidth="1"/>
    <col min="4" max="4" width="16.5703125" customWidth="1"/>
  </cols>
  <sheetData>
    <row r="1" spans="1:4" ht="15.75" x14ac:dyDescent="0.25">
      <c r="A1" s="21" t="s">
        <v>43</v>
      </c>
      <c r="B1" s="22" t="s">
        <v>44</v>
      </c>
      <c r="C1" s="22" t="s">
        <v>45</v>
      </c>
      <c r="D1" s="21" t="s">
        <v>161</v>
      </c>
    </row>
    <row r="2" spans="1:4" ht="15.75" x14ac:dyDescent="0.25">
      <c r="A2" s="16" t="s">
        <v>8</v>
      </c>
      <c r="B2" s="17" t="s">
        <v>46</v>
      </c>
      <c r="C2" s="18" t="s">
        <v>47</v>
      </c>
      <c r="D2" s="16">
        <f>VLOOKUP(A2,lista!$B$2:$C$13,2,0)</f>
        <v>1</v>
      </c>
    </row>
    <row r="3" spans="1:4" ht="15.75" x14ac:dyDescent="0.25">
      <c r="A3" s="16" t="s">
        <v>8</v>
      </c>
      <c r="B3" s="17" t="s">
        <v>46</v>
      </c>
      <c r="C3" s="18" t="s">
        <v>48</v>
      </c>
      <c r="D3" s="16">
        <f>VLOOKUP(A3,lista!$B$2:$C$13,2,0)</f>
        <v>1</v>
      </c>
    </row>
    <row r="4" spans="1:4" ht="15.75" x14ac:dyDescent="0.25">
      <c r="A4" s="16" t="s">
        <v>8</v>
      </c>
      <c r="B4" s="17" t="s">
        <v>46</v>
      </c>
      <c r="C4" s="18" t="s">
        <v>49</v>
      </c>
      <c r="D4" s="16">
        <f>VLOOKUP(A4,lista!$B$2:$C$13,2,0)</f>
        <v>1</v>
      </c>
    </row>
    <row r="5" spans="1:4" ht="15.75" x14ac:dyDescent="0.25">
      <c r="A5" s="16" t="s">
        <v>8</v>
      </c>
      <c r="B5" s="17" t="s">
        <v>46</v>
      </c>
      <c r="C5" s="18" t="s">
        <v>50</v>
      </c>
      <c r="D5" s="16">
        <f>VLOOKUP(A5,lista!$B$2:$C$13,2,0)</f>
        <v>1</v>
      </c>
    </row>
    <row r="6" spans="1:4" ht="15.75" x14ac:dyDescent="0.25">
      <c r="A6" s="16" t="s">
        <v>8</v>
      </c>
      <c r="B6" s="17" t="s">
        <v>51</v>
      </c>
      <c r="C6" s="18" t="s">
        <v>52</v>
      </c>
      <c r="D6" s="16">
        <f>VLOOKUP(A6,lista!$B$2:$C$13,2,0)</f>
        <v>1</v>
      </c>
    </row>
    <row r="7" spans="1:4" ht="15.75" x14ac:dyDescent="0.25">
      <c r="A7" s="16" t="s">
        <v>8</v>
      </c>
      <c r="B7" s="17" t="s">
        <v>51</v>
      </c>
      <c r="C7" s="18" t="s">
        <v>53</v>
      </c>
      <c r="D7" s="16">
        <f>VLOOKUP(A7,lista!$B$2:$C$13,2,0)</f>
        <v>1</v>
      </c>
    </row>
    <row r="8" spans="1:4" ht="15.75" x14ac:dyDescent="0.25">
      <c r="A8" s="16" t="s">
        <v>8</v>
      </c>
      <c r="B8" s="17" t="s">
        <v>51</v>
      </c>
      <c r="C8" s="18" t="s">
        <v>54</v>
      </c>
      <c r="D8" s="16">
        <f>VLOOKUP(A8,lista!$B$2:$C$13,2,0)</f>
        <v>1</v>
      </c>
    </row>
    <row r="9" spans="1:4" ht="15.75" x14ac:dyDescent="0.25">
      <c r="A9" s="16" t="s">
        <v>8</v>
      </c>
      <c r="B9" s="17" t="s">
        <v>51</v>
      </c>
      <c r="C9" s="18" t="s">
        <v>55</v>
      </c>
      <c r="D9" s="16">
        <f>VLOOKUP(A9,lista!$B$2:$C$13,2,0)</f>
        <v>1</v>
      </c>
    </row>
    <row r="10" spans="1:4" ht="15.75" x14ac:dyDescent="0.25">
      <c r="A10" s="16" t="s">
        <v>8</v>
      </c>
      <c r="B10" s="17" t="s">
        <v>51</v>
      </c>
      <c r="C10" s="18" t="s">
        <v>56</v>
      </c>
      <c r="D10" s="16">
        <f>VLOOKUP(A10,lista!$B$2:$C$13,2,0)</f>
        <v>1</v>
      </c>
    </row>
    <row r="11" spans="1:4" ht="15.75" x14ac:dyDescent="0.25">
      <c r="A11" s="16" t="s">
        <v>8</v>
      </c>
      <c r="B11" s="17" t="s">
        <v>57</v>
      </c>
      <c r="C11" s="18" t="s">
        <v>58</v>
      </c>
      <c r="D11" s="16">
        <f>VLOOKUP(A11,lista!$B$2:$C$13,2,0)</f>
        <v>1</v>
      </c>
    </row>
    <row r="12" spans="1:4" ht="15.75" x14ac:dyDescent="0.25">
      <c r="A12" s="16" t="s">
        <v>8</v>
      </c>
      <c r="B12" s="17" t="s">
        <v>57</v>
      </c>
      <c r="C12" s="18" t="s">
        <v>59</v>
      </c>
      <c r="D12" s="16">
        <f>VLOOKUP(A12,lista!$B$2:$C$13,2,0)</f>
        <v>1</v>
      </c>
    </row>
    <row r="13" spans="1:4" ht="15.75" x14ac:dyDescent="0.25">
      <c r="A13" s="16" t="s">
        <v>8</v>
      </c>
      <c r="B13" s="17" t="s">
        <v>57</v>
      </c>
      <c r="C13" s="18" t="s">
        <v>60</v>
      </c>
      <c r="D13" s="16">
        <f>VLOOKUP(A13,lista!$B$2:$C$13,2,0)</f>
        <v>1</v>
      </c>
    </row>
    <row r="14" spans="1:4" ht="15.75" x14ac:dyDescent="0.25">
      <c r="A14" s="16" t="s">
        <v>8</v>
      </c>
      <c r="B14" s="17" t="s">
        <v>57</v>
      </c>
      <c r="C14" s="18" t="s">
        <v>61</v>
      </c>
      <c r="D14" s="16">
        <f>VLOOKUP(A14,lista!$B$2:$C$13,2,0)</f>
        <v>1</v>
      </c>
    </row>
    <row r="15" spans="1:4" ht="15.75" x14ac:dyDescent="0.25">
      <c r="A15" s="16" t="s">
        <v>8</v>
      </c>
      <c r="B15" s="17" t="s">
        <v>63</v>
      </c>
      <c r="C15" s="17" t="s">
        <v>62</v>
      </c>
      <c r="D15" s="16">
        <f>VLOOKUP(A15,lista!$B$2:$C$13,2,0)</f>
        <v>1</v>
      </c>
    </row>
    <row r="16" spans="1:4" ht="15.75" x14ac:dyDescent="0.25">
      <c r="A16" s="16" t="s">
        <v>8</v>
      </c>
      <c r="B16" s="17" t="s">
        <v>63</v>
      </c>
      <c r="C16" s="17" t="s">
        <v>64</v>
      </c>
      <c r="D16" s="16">
        <f>VLOOKUP(A16,lista!$B$2:$C$13,2,0)</f>
        <v>1</v>
      </c>
    </row>
    <row r="17" spans="1:4" ht="15.75" x14ac:dyDescent="0.25">
      <c r="A17" s="16" t="s">
        <v>8</v>
      </c>
      <c r="B17" s="17" t="s">
        <v>63</v>
      </c>
      <c r="C17" s="17" t="s">
        <v>65</v>
      </c>
      <c r="D17" s="16">
        <f>VLOOKUP(A17,lista!$B$2:$C$13,2,0)</f>
        <v>1</v>
      </c>
    </row>
    <row r="18" spans="1:4" ht="15.75" x14ac:dyDescent="0.25">
      <c r="A18" s="19" t="s">
        <v>0</v>
      </c>
      <c r="B18" s="17" t="s">
        <v>66</v>
      </c>
      <c r="C18" s="18" t="s">
        <v>67</v>
      </c>
      <c r="D18" s="16">
        <f>VLOOKUP(A18,lista!$B$2:$C$13,2,0)</f>
        <v>2</v>
      </c>
    </row>
    <row r="19" spans="1:4" ht="15.75" x14ac:dyDescent="0.25">
      <c r="A19" s="19" t="s">
        <v>0</v>
      </c>
      <c r="B19" s="17" t="s">
        <v>46</v>
      </c>
      <c r="C19" s="18" t="s">
        <v>58</v>
      </c>
      <c r="D19" s="16">
        <f>VLOOKUP(A19,lista!$B$2:$C$13,2,0)</f>
        <v>2</v>
      </c>
    </row>
    <row r="20" spans="1:4" ht="15.75" x14ac:dyDescent="0.25">
      <c r="A20" s="19" t="s">
        <v>0</v>
      </c>
      <c r="B20" s="17" t="s">
        <v>46</v>
      </c>
      <c r="C20" s="18" t="s">
        <v>54</v>
      </c>
      <c r="D20" s="16">
        <f>VLOOKUP(A20,lista!$B$2:$C$13,2,0)</f>
        <v>2</v>
      </c>
    </row>
    <row r="21" spans="1:4" ht="15.75" x14ac:dyDescent="0.25">
      <c r="A21" s="19" t="s">
        <v>0</v>
      </c>
      <c r="B21" s="17" t="s">
        <v>46</v>
      </c>
      <c r="C21" s="18" t="s">
        <v>49</v>
      </c>
      <c r="D21" s="16">
        <f>VLOOKUP(A21,lista!$B$2:$C$13,2,0)</f>
        <v>2</v>
      </c>
    </row>
    <row r="22" spans="1:4" ht="15.75" x14ac:dyDescent="0.25">
      <c r="A22" s="19" t="s">
        <v>0</v>
      </c>
      <c r="B22" s="17" t="s">
        <v>46</v>
      </c>
      <c r="C22" s="18" t="s">
        <v>68</v>
      </c>
      <c r="D22" s="16">
        <f>VLOOKUP(A22,lista!$B$2:$C$13,2,0)</f>
        <v>2</v>
      </c>
    </row>
    <row r="23" spans="1:4" ht="15.75" x14ac:dyDescent="0.25">
      <c r="A23" s="19" t="s">
        <v>0</v>
      </c>
      <c r="B23" s="17" t="s">
        <v>51</v>
      </c>
      <c r="C23" s="18" t="s">
        <v>52</v>
      </c>
      <c r="D23" s="16">
        <f>VLOOKUP(A23,lista!$B$2:$C$13,2,0)</f>
        <v>2</v>
      </c>
    </row>
    <row r="24" spans="1:4" ht="15.75" x14ac:dyDescent="0.25">
      <c r="A24" s="19" t="s">
        <v>0</v>
      </c>
      <c r="B24" s="17" t="s">
        <v>51</v>
      </c>
      <c r="C24" s="18" t="s">
        <v>69</v>
      </c>
      <c r="D24" s="16">
        <f>VLOOKUP(A24,lista!$B$2:$C$13,2,0)</f>
        <v>2</v>
      </c>
    </row>
    <row r="25" spans="1:4" ht="15.75" x14ac:dyDescent="0.25">
      <c r="A25" s="19" t="s">
        <v>0</v>
      </c>
      <c r="B25" s="17" t="s">
        <v>51</v>
      </c>
      <c r="C25" s="18" t="s">
        <v>70</v>
      </c>
      <c r="D25" s="16">
        <f>VLOOKUP(A25,lista!$B$2:$C$13,2,0)</f>
        <v>2</v>
      </c>
    </row>
    <row r="26" spans="1:4" ht="15.75" x14ac:dyDescent="0.25">
      <c r="A26" s="19" t="s">
        <v>0</v>
      </c>
      <c r="B26" s="17" t="s">
        <v>51</v>
      </c>
      <c r="C26" s="18" t="s">
        <v>71</v>
      </c>
      <c r="D26" s="16">
        <f>VLOOKUP(A26,lista!$B$2:$C$13,2,0)</f>
        <v>2</v>
      </c>
    </row>
    <row r="27" spans="1:4" ht="15.75" x14ac:dyDescent="0.25">
      <c r="A27" s="19" t="s">
        <v>0</v>
      </c>
      <c r="B27" s="17" t="s">
        <v>57</v>
      </c>
      <c r="C27" s="18" t="s">
        <v>72</v>
      </c>
      <c r="D27" s="16">
        <f>VLOOKUP(A27,lista!$B$2:$C$13,2,0)</f>
        <v>2</v>
      </c>
    </row>
    <row r="28" spans="1:4" ht="15.75" x14ac:dyDescent="0.25">
      <c r="A28" s="19" t="s">
        <v>0</v>
      </c>
      <c r="B28" s="17" t="s">
        <v>57</v>
      </c>
      <c r="C28" s="18" t="s">
        <v>56</v>
      </c>
      <c r="D28" s="16">
        <f>VLOOKUP(A28,lista!$B$2:$C$13,2,0)</f>
        <v>2</v>
      </c>
    </row>
    <row r="29" spans="1:4" ht="15.75" x14ac:dyDescent="0.25">
      <c r="A29" s="19" t="s">
        <v>0</v>
      </c>
      <c r="B29" s="17" t="s">
        <v>57</v>
      </c>
      <c r="C29" s="18" t="s">
        <v>60</v>
      </c>
      <c r="D29" s="16">
        <f>VLOOKUP(A29,lista!$B$2:$C$13,2,0)</f>
        <v>2</v>
      </c>
    </row>
    <row r="30" spans="1:4" ht="15.75" x14ac:dyDescent="0.25">
      <c r="A30" s="19" t="s">
        <v>0</v>
      </c>
      <c r="B30" s="17" t="s">
        <v>57</v>
      </c>
      <c r="C30" s="18" t="s">
        <v>50</v>
      </c>
      <c r="D30" s="16">
        <f>VLOOKUP(A30,lista!$B$2:$C$13,2,0)</f>
        <v>2</v>
      </c>
    </row>
    <row r="31" spans="1:4" ht="15.75" x14ac:dyDescent="0.25">
      <c r="A31" s="19" t="s">
        <v>0</v>
      </c>
      <c r="B31" s="17" t="s">
        <v>73</v>
      </c>
      <c r="C31" s="18" t="s">
        <v>74</v>
      </c>
      <c r="D31" s="16">
        <f>VLOOKUP(A31,lista!$B$2:$C$13,2,0)</f>
        <v>2</v>
      </c>
    </row>
    <row r="32" spans="1:4" ht="15.75" x14ac:dyDescent="0.25">
      <c r="A32" s="19" t="s">
        <v>0</v>
      </c>
      <c r="B32" s="17" t="s">
        <v>73</v>
      </c>
      <c r="C32" s="18" t="s">
        <v>75</v>
      </c>
      <c r="D32" s="16">
        <f>VLOOKUP(A32,lista!$B$2:$C$13,2,0)</f>
        <v>2</v>
      </c>
    </row>
    <row r="33" spans="1:4" ht="15.75" x14ac:dyDescent="0.25">
      <c r="A33" s="19" t="s">
        <v>0</v>
      </c>
      <c r="B33" s="17" t="s">
        <v>73</v>
      </c>
      <c r="C33" s="18" t="s">
        <v>76</v>
      </c>
      <c r="D33" s="16">
        <f>VLOOKUP(A33,lista!$B$2:$C$13,2,0)</f>
        <v>2</v>
      </c>
    </row>
    <row r="34" spans="1:4" ht="15.75" x14ac:dyDescent="0.25">
      <c r="A34" s="19" t="s">
        <v>0</v>
      </c>
      <c r="B34" s="17" t="s">
        <v>73</v>
      </c>
      <c r="C34" s="18" t="s">
        <v>77</v>
      </c>
      <c r="D34" s="16">
        <f>VLOOKUP(A34,lista!$B$2:$C$13,2,0)</f>
        <v>2</v>
      </c>
    </row>
    <row r="35" spans="1:4" ht="15.75" x14ac:dyDescent="0.25">
      <c r="A35" s="19" t="s">
        <v>0</v>
      </c>
      <c r="B35" s="17" t="s">
        <v>73</v>
      </c>
      <c r="C35" s="18" t="s">
        <v>78</v>
      </c>
      <c r="D35" s="16">
        <f>VLOOKUP(A35,lista!$B$2:$C$13,2,0)</f>
        <v>2</v>
      </c>
    </row>
    <row r="36" spans="1:4" ht="15.75" x14ac:dyDescent="0.25">
      <c r="A36" s="19" t="s">
        <v>0</v>
      </c>
      <c r="B36" s="17" t="s">
        <v>63</v>
      </c>
      <c r="C36" s="17" t="s">
        <v>62</v>
      </c>
      <c r="D36" s="16">
        <f>VLOOKUP(A36,lista!$B$2:$C$13,2,0)</f>
        <v>2</v>
      </c>
    </row>
    <row r="37" spans="1:4" ht="15.75" x14ac:dyDescent="0.25">
      <c r="A37" s="19" t="s">
        <v>0</v>
      </c>
      <c r="B37" s="17" t="s">
        <v>63</v>
      </c>
      <c r="C37" s="17" t="s">
        <v>64</v>
      </c>
      <c r="D37" s="16">
        <f>VLOOKUP(A37,lista!$B$2:$C$13,2,0)</f>
        <v>2</v>
      </c>
    </row>
    <row r="38" spans="1:4" ht="15.75" x14ac:dyDescent="0.25">
      <c r="A38" s="19" t="s">
        <v>0</v>
      </c>
      <c r="B38" s="17" t="s">
        <v>63</v>
      </c>
      <c r="C38" s="17" t="s">
        <v>65</v>
      </c>
      <c r="D38" s="16">
        <f>VLOOKUP(A38,lista!$B$2:$C$13,2,0)</f>
        <v>2</v>
      </c>
    </row>
    <row r="39" spans="1:4" ht="15.75" x14ac:dyDescent="0.25">
      <c r="A39" s="19" t="s">
        <v>1</v>
      </c>
      <c r="B39" s="17" t="s">
        <v>66</v>
      </c>
      <c r="C39" s="18" t="s">
        <v>79</v>
      </c>
      <c r="D39" s="16">
        <f>VLOOKUP(A39,lista!$B$2:$C$13,2,0)</f>
        <v>9</v>
      </c>
    </row>
    <row r="40" spans="1:4" ht="15.75" x14ac:dyDescent="0.25">
      <c r="A40" s="19" t="s">
        <v>1</v>
      </c>
      <c r="B40" s="17" t="s">
        <v>46</v>
      </c>
      <c r="C40" s="18" t="s">
        <v>80</v>
      </c>
      <c r="D40" s="16">
        <f>VLOOKUP(A40,lista!$B$2:$C$13,2,0)</f>
        <v>9</v>
      </c>
    </row>
    <row r="41" spans="1:4" ht="15.75" x14ac:dyDescent="0.25">
      <c r="A41" s="19" t="s">
        <v>1</v>
      </c>
      <c r="B41" s="17" t="s">
        <v>46</v>
      </c>
      <c r="C41" s="18" t="s">
        <v>81</v>
      </c>
      <c r="D41" s="16">
        <f>VLOOKUP(A41,lista!$B$2:$C$13,2,0)</f>
        <v>9</v>
      </c>
    </row>
    <row r="42" spans="1:4" ht="15.75" x14ac:dyDescent="0.25">
      <c r="A42" s="19" t="s">
        <v>1</v>
      </c>
      <c r="B42" s="17" t="s">
        <v>46</v>
      </c>
      <c r="C42" s="18" t="s">
        <v>82</v>
      </c>
      <c r="D42" s="16">
        <f>VLOOKUP(A42,lista!$B$2:$C$13,2,0)</f>
        <v>9</v>
      </c>
    </row>
    <row r="43" spans="1:4" ht="15.75" x14ac:dyDescent="0.25">
      <c r="A43" s="19" t="s">
        <v>1</v>
      </c>
      <c r="B43" s="17" t="s">
        <v>46</v>
      </c>
      <c r="C43" s="18" t="s">
        <v>83</v>
      </c>
      <c r="D43" s="16">
        <f>VLOOKUP(A43,lista!$B$2:$C$13,2,0)</f>
        <v>9</v>
      </c>
    </row>
    <row r="44" spans="1:4" ht="15.75" x14ac:dyDescent="0.25">
      <c r="A44" s="19" t="s">
        <v>1</v>
      </c>
      <c r="B44" s="17" t="s">
        <v>51</v>
      </c>
      <c r="C44" s="18" t="s">
        <v>84</v>
      </c>
      <c r="D44" s="16">
        <f>VLOOKUP(A44,lista!$B$2:$C$13,2,0)</f>
        <v>9</v>
      </c>
    </row>
    <row r="45" spans="1:4" ht="15.75" x14ac:dyDescent="0.25">
      <c r="A45" s="19" t="s">
        <v>1</v>
      </c>
      <c r="B45" s="17" t="s">
        <v>51</v>
      </c>
      <c r="C45" s="18" t="s">
        <v>85</v>
      </c>
      <c r="D45" s="16">
        <f>VLOOKUP(A45,lista!$B$2:$C$13,2,0)</f>
        <v>9</v>
      </c>
    </row>
    <row r="46" spans="1:4" ht="15.75" x14ac:dyDescent="0.25">
      <c r="A46" s="19" t="s">
        <v>1</v>
      </c>
      <c r="B46" s="17" t="s">
        <v>51</v>
      </c>
      <c r="C46" s="18" t="s">
        <v>86</v>
      </c>
      <c r="D46" s="16">
        <f>VLOOKUP(A46,lista!$B$2:$C$13,2,0)</f>
        <v>9</v>
      </c>
    </row>
    <row r="47" spans="1:4" ht="15.75" x14ac:dyDescent="0.25">
      <c r="A47" s="19" t="s">
        <v>1</v>
      </c>
      <c r="B47" s="17" t="s">
        <v>51</v>
      </c>
      <c r="C47" s="18" t="s">
        <v>87</v>
      </c>
      <c r="D47" s="16">
        <f>VLOOKUP(A47,lista!$B$2:$C$13,2,0)</f>
        <v>9</v>
      </c>
    </row>
    <row r="48" spans="1:4" ht="15.75" x14ac:dyDescent="0.25">
      <c r="A48" s="19" t="s">
        <v>1</v>
      </c>
      <c r="B48" s="17" t="s">
        <v>57</v>
      </c>
      <c r="C48" s="18" t="s">
        <v>52</v>
      </c>
      <c r="D48" s="16">
        <f>VLOOKUP(A48,lista!$B$2:$C$13,2,0)</f>
        <v>9</v>
      </c>
    </row>
    <row r="49" spans="1:4" ht="15.75" x14ac:dyDescent="0.25">
      <c r="A49" s="19" t="s">
        <v>1</v>
      </c>
      <c r="B49" s="17" t="s">
        <v>57</v>
      </c>
      <c r="C49" s="18" t="s">
        <v>88</v>
      </c>
      <c r="D49" s="16">
        <f>VLOOKUP(A49,lista!$B$2:$C$13,2,0)</f>
        <v>9</v>
      </c>
    </row>
    <row r="50" spans="1:4" ht="15.75" x14ac:dyDescent="0.25">
      <c r="A50" s="19" t="s">
        <v>1</v>
      </c>
      <c r="B50" s="17" t="s">
        <v>57</v>
      </c>
      <c r="C50" s="18" t="s">
        <v>54</v>
      </c>
      <c r="D50" s="16">
        <f>VLOOKUP(A50,lista!$B$2:$C$13,2,0)</f>
        <v>9</v>
      </c>
    </row>
    <row r="51" spans="1:4" ht="15.75" x14ac:dyDescent="0.25">
      <c r="A51" s="19" t="s">
        <v>1</v>
      </c>
      <c r="B51" s="17" t="s">
        <v>57</v>
      </c>
      <c r="C51" s="18" t="s">
        <v>89</v>
      </c>
      <c r="D51" s="16">
        <f>VLOOKUP(A51,lista!$B$2:$C$13,2,0)</f>
        <v>9</v>
      </c>
    </row>
    <row r="52" spans="1:4" ht="15.75" x14ac:dyDescent="0.25">
      <c r="A52" s="19" t="s">
        <v>1</v>
      </c>
      <c r="B52" s="17" t="s">
        <v>73</v>
      </c>
      <c r="C52" s="18" t="s">
        <v>74</v>
      </c>
      <c r="D52" s="16">
        <f>VLOOKUP(A52,lista!$B$2:$C$13,2,0)</f>
        <v>9</v>
      </c>
    </row>
    <row r="53" spans="1:4" ht="15.75" x14ac:dyDescent="0.25">
      <c r="A53" s="19" t="s">
        <v>1</v>
      </c>
      <c r="B53" s="17" t="s">
        <v>73</v>
      </c>
      <c r="C53" s="18" t="s">
        <v>75</v>
      </c>
      <c r="D53" s="16">
        <f>VLOOKUP(A53,lista!$B$2:$C$13,2,0)</f>
        <v>9</v>
      </c>
    </row>
    <row r="54" spans="1:4" ht="15.75" x14ac:dyDescent="0.25">
      <c r="A54" s="19" t="s">
        <v>1</v>
      </c>
      <c r="B54" s="17" t="s">
        <v>73</v>
      </c>
      <c r="C54" s="18" t="s">
        <v>76</v>
      </c>
      <c r="D54" s="16">
        <f>VLOOKUP(A54,lista!$B$2:$C$13,2,0)</f>
        <v>9</v>
      </c>
    </row>
    <row r="55" spans="1:4" ht="15.75" x14ac:dyDescent="0.25">
      <c r="A55" s="19" t="s">
        <v>1</v>
      </c>
      <c r="B55" s="17" t="s">
        <v>73</v>
      </c>
      <c r="C55" s="18" t="s">
        <v>77</v>
      </c>
      <c r="D55" s="16">
        <f>VLOOKUP(A55,lista!$B$2:$C$13,2,0)</f>
        <v>9</v>
      </c>
    </row>
    <row r="56" spans="1:4" ht="15.75" x14ac:dyDescent="0.25">
      <c r="A56" s="19" t="s">
        <v>1</v>
      </c>
      <c r="B56" s="17" t="s">
        <v>73</v>
      </c>
      <c r="C56" s="18" t="s">
        <v>78</v>
      </c>
      <c r="D56" s="16">
        <f>VLOOKUP(A56,lista!$B$2:$C$13,2,0)</f>
        <v>9</v>
      </c>
    </row>
    <row r="57" spans="1:4" ht="15.75" x14ac:dyDescent="0.25">
      <c r="A57" s="19" t="s">
        <v>1</v>
      </c>
      <c r="B57" s="17" t="s">
        <v>63</v>
      </c>
      <c r="C57" s="17" t="s">
        <v>62</v>
      </c>
      <c r="D57" s="16">
        <f>VLOOKUP(A57,lista!$B$2:$C$13,2,0)</f>
        <v>9</v>
      </c>
    </row>
    <row r="58" spans="1:4" ht="15.75" x14ac:dyDescent="0.25">
      <c r="A58" s="19" t="s">
        <v>1</v>
      </c>
      <c r="B58" s="17" t="s">
        <v>63</v>
      </c>
      <c r="C58" s="17" t="s">
        <v>64</v>
      </c>
      <c r="D58" s="16">
        <f>VLOOKUP(A58,lista!$B$2:$C$13,2,0)</f>
        <v>9</v>
      </c>
    </row>
    <row r="59" spans="1:4" ht="15.75" x14ac:dyDescent="0.25">
      <c r="A59" s="19" t="s">
        <v>1</v>
      </c>
      <c r="B59" s="17" t="s">
        <v>63</v>
      </c>
      <c r="C59" s="17" t="s">
        <v>65</v>
      </c>
      <c r="D59" s="16">
        <f>VLOOKUP(A59,lista!$B$2:$C$13,2,0)</f>
        <v>9</v>
      </c>
    </row>
    <row r="60" spans="1:4" ht="15.75" x14ac:dyDescent="0.25">
      <c r="A60" s="19" t="s">
        <v>2</v>
      </c>
      <c r="B60" s="17" t="s">
        <v>46</v>
      </c>
      <c r="C60" s="18" t="s">
        <v>90</v>
      </c>
      <c r="D60" s="16">
        <f>VLOOKUP(A60,lista!$B$2:$C$13,2,0)</f>
        <v>10</v>
      </c>
    </row>
    <row r="61" spans="1:4" ht="15.75" x14ac:dyDescent="0.25">
      <c r="A61" s="19" t="s">
        <v>2</v>
      </c>
      <c r="B61" s="17" t="s">
        <v>46</v>
      </c>
      <c r="C61" s="18" t="s">
        <v>91</v>
      </c>
      <c r="D61" s="16">
        <f>VLOOKUP(A61,lista!$B$2:$C$13,2,0)</f>
        <v>10</v>
      </c>
    </row>
    <row r="62" spans="1:4" ht="15.75" x14ac:dyDescent="0.25">
      <c r="A62" s="19" t="s">
        <v>2</v>
      </c>
      <c r="B62" s="17" t="s">
        <v>46</v>
      </c>
      <c r="C62" s="18" t="s">
        <v>92</v>
      </c>
      <c r="D62" s="16">
        <f>VLOOKUP(A62,lista!$B$2:$C$13,2,0)</f>
        <v>10</v>
      </c>
    </row>
    <row r="63" spans="1:4" ht="15.75" x14ac:dyDescent="0.25">
      <c r="A63" s="19" t="s">
        <v>2</v>
      </c>
      <c r="B63" s="17" t="s">
        <v>46</v>
      </c>
      <c r="C63" s="18" t="s">
        <v>93</v>
      </c>
      <c r="D63" s="16">
        <f>VLOOKUP(A63,lista!$B$2:$C$13,2,0)</f>
        <v>10</v>
      </c>
    </row>
    <row r="64" spans="1:4" ht="15.75" x14ac:dyDescent="0.25">
      <c r="A64" s="19" t="s">
        <v>2</v>
      </c>
      <c r="B64" s="17" t="s">
        <v>46</v>
      </c>
      <c r="C64" s="18" t="s">
        <v>94</v>
      </c>
      <c r="D64" s="16">
        <f>VLOOKUP(A64,lista!$B$2:$C$13,2,0)</f>
        <v>10</v>
      </c>
    </row>
    <row r="65" spans="1:4" ht="15.75" x14ac:dyDescent="0.25">
      <c r="A65" s="19" t="s">
        <v>2</v>
      </c>
      <c r="B65" s="17" t="s">
        <v>51</v>
      </c>
      <c r="C65" s="18" t="s">
        <v>95</v>
      </c>
      <c r="D65" s="16">
        <f>VLOOKUP(A65,lista!$B$2:$C$13,2,0)</f>
        <v>10</v>
      </c>
    </row>
    <row r="66" spans="1:4" ht="15.75" x14ac:dyDescent="0.25">
      <c r="A66" s="19" t="s">
        <v>2</v>
      </c>
      <c r="B66" s="17" t="s">
        <v>51</v>
      </c>
      <c r="C66" s="18" t="s">
        <v>96</v>
      </c>
      <c r="D66" s="16">
        <f>VLOOKUP(A66,lista!$B$2:$C$13,2,0)</f>
        <v>10</v>
      </c>
    </row>
    <row r="67" spans="1:4" ht="15.75" x14ac:dyDescent="0.25">
      <c r="A67" s="19" t="s">
        <v>2</v>
      </c>
      <c r="B67" s="17" t="s">
        <v>51</v>
      </c>
      <c r="C67" s="18" t="s">
        <v>97</v>
      </c>
      <c r="D67" s="16">
        <f>VLOOKUP(A67,lista!$B$2:$C$13,2,0)</f>
        <v>10</v>
      </c>
    </row>
    <row r="68" spans="1:4" ht="15.75" x14ac:dyDescent="0.25">
      <c r="A68" s="19" t="s">
        <v>2</v>
      </c>
      <c r="B68" s="17" t="s">
        <v>51</v>
      </c>
      <c r="C68" s="18" t="s">
        <v>61</v>
      </c>
      <c r="D68" s="16">
        <f>VLOOKUP(A68,lista!$B$2:$C$13,2,0)</f>
        <v>10</v>
      </c>
    </row>
    <row r="69" spans="1:4" ht="15.75" x14ac:dyDescent="0.25">
      <c r="A69" s="19" t="s">
        <v>2</v>
      </c>
      <c r="B69" s="17" t="s">
        <v>57</v>
      </c>
      <c r="C69" s="18" t="s">
        <v>98</v>
      </c>
      <c r="D69" s="16">
        <f>VLOOKUP(A69,lista!$B$2:$C$13,2,0)</f>
        <v>10</v>
      </c>
    </row>
    <row r="70" spans="1:4" ht="15.75" x14ac:dyDescent="0.25">
      <c r="A70" s="19" t="s">
        <v>2</v>
      </c>
      <c r="B70" s="17" t="s">
        <v>57</v>
      </c>
      <c r="C70" s="18" t="s">
        <v>99</v>
      </c>
      <c r="D70" s="16">
        <f>VLOOKUP(A70,lista!$B$2:$C$13,2,0)</f>
        <v>10</v>
      </c>
    </row>
    <row r="71" spans="1:4" ht="15.75" x14ac:dyDescent="0.25">
      <c r="A71" s="19" t="s">
        <v>2</v>
      </c>
      <c r="B71" s="17" t="s">
        <v>57</v>
      </c>
      <c r="C71" s="18" t="s">
        <v>59</v>
      </c>
      <c r="D71" s="16">
        <f>VLOOKUP(A71,lista!$B$2:$C$13,2,0)</f>
        <v>10</v>
      </c>
    </row>
    <row r="72" spans="1:4" ht="15.75" x14ac:dyDescent="0.25">
      <c r="A72" s="19" t="s">
        <v>2</v>
      </c>
      <c r="B72" s="17" t="s">
        <v>57</v>
      </c>
      <c r="C72" s="18" t="s">
        <v>100</v>
      </c>
      <c r="D72" s="16">
        <f>VLOOKUP(A72,lista!$B$2:$C$13,2,0)</f>
        <v>10</v>
      </c>
    </row>
    <row r="73" spans="1:4" ht="15.75" x14ac:dyDescent="0.25">
      <c r="A73" s="19" t="s">
        <v>2</v>
      </c>
      <c r="B73" s="17" t="s">
        <v>73</v>
      </c>
      <c r="C73" s="18" t="s">
        <v>74</v>
      </c>
      <c r="D73" s="16">
        <f>VLOOKUP(A73,lista!$B$2:$C$13,2,0)</f>
        <v>10</v>
      </c>
    </row>
    <row r="74" spans="1:4" ht="15.75" x14ac:dyDescent="0.25">
      <c r="A74" s="19" t="s">
        <v>2</v>
      </c>
      <c r="B74" s="17" t="s">
        <v>73</v>
      </c>
      <c r="C74" s="18" t="s">
        <v>75</v>
      </c>
      <c r="D74" s="16">
        <f>VLOOKUP(A74,lista!$B$2:$C$13,2,0)</f>
        <v>10</v>
      </c>
    </row>
    <row r="75" spans="1:4" ht="15.75" x14ac:dyDescent="0.25">
      <c r="A75" s="19" t="s">
        <v>2</v>
      </c>
      <c r="B75" s="17" t="s">
        <v>73</v>
      </c>
      <c r="C75" s="18" t="s">
        <v>76</v>
      </c>
      <c r="D75" s="16">
        <f>VLOOKUP(A75,lista!$B$2:$C$13,2,0)</f>
        <v>10</v>
      </c>
    </row>
    <row r="76" spans="1:4" ht="15.75" x14ac:dyDescent="0.25">
      <c r="A76" s="19" t="s">
        <v>2</v>
      </c>
      <c r="B76" s="17" t="s">
        <v>73</v>
      </c>
      <c r="C76" s="18" t="s">
        <v>77</v>
      </c>
      <c r="D76" s="16">
        <f>VLOOKUP(A76,lista!$B$2:$C$13,2,0)</f>
        <v>10</v>
      </c>
    </row>
    <row r="77" spans="1:4" ht="15.75" x14ac:dyDescent="0.25">
      <c r="A77" s="19" t="s">
        <v>2</v>
      </c>
      <c r="B77" s="17" t="s">
        <v>73</v>
      </c>
      <c r="C77" s="18" t="s">
        <v>78</v>
      </c>
      <c r="D77" s="16">
        <f>VLOOKUP(A77,lista!$B$2:$C$13,2,0)</f>
        <v>10</v>
      </c>
    </row>
    <row r="78" spans="1:4" ht="15.75" x14ac:dyDescent="0.25">
      <c r="A78" s="19" t="s">
        <v>2</v>
      </c>
      <c r="B78" s="17" t="s">
        <v>63</v>
      </c>
      <c r="C78" s="17" t="s">
        <v>62</v>
      </c>
      <c r="D78" s="16">
        <f>VLOOKUP(A78,lista!$B$2:$C$13,2,0)</f>
        <v>10</v>
      </c>
    </row>
    <row r="79" spans="1:4" ht="15.75" x14ac:dyDescent="0.25">
      <c r="A79" s="19" t="s">
        <v>2</v>
      </c>
      <c r="B79" s="17" t="s">
        <v>63</v>
      </c>
      <c r="C79" s="17" t="s">
        <v>64</v>
      </c>
      <c r="D79" s="16">
        <f>VLOOKUP(A79,lista!$B$2:$C$13,2,0)</f>
        <v>10</v>
      </c>
    </row>
    <row r="80" spans="1:4" ht="15.75" x14ac:dyDescent="0.25">
      <c r="A80" s="19" t="s">
        <v>2</v>
      </c>
      <c r="B80" s="17" t="s">
        <v>63</v>
      </c>
      <c r="C80" s="17" t="s">
        <v>65</v>
      </c>
      <c r="D80" s="16">
        <f>VLOOKUP(A80,lista!$B$2:$C$13,2,0)</f>
        <v>10</v>
      </c>
    </row>
    <row r="81" spans="1:4" ht="15.75" x14ac:dyDescent="0.25">
      <c r="A81" s="19" t="s">
        <v>3</v>
      </c>
      <c r="B81" s="17" t="s">
        <v>66</v>
      </c>
      <c r="C81" s="18" t="s">
        <v>90</v>
      </c>
      <c r="D81" s="16">
        <f>VLOOKUP(A81,lista!$B$2:$C$13,2,0)</f>
        <v>3</v>
      </c>
    </row>
    <row r="82" spans="1:4" ht="15.75" x14ac:dyDescent="0.25">
      <c r="A82" s="19" t="s">
        <v>3</v>
      </c>
      <c r="B82" s="17" t="s">
        <v>46</v>
      </c>
      <c r="C82" s="18" t="s">
        <v>52</v>
      </c>
      <c r="D82" s="16">
        <f>VLOOKUP(A82,lista!$B$2:$C$13,2,0)</f>
        <v>3</v>
      </c>
    </row>
    <row r="83" spans="1:4" ht="15.75" x14ac:dyDescent="0.25">
      <c r="A83" s="19" t="s">
        <v>3</v>
      </c>
      <c r="B83" s="17" t="s">
        <v>46</v>
      </c>
      <c r="C83" s="18" t="s">
        <v>54</v>
      </c>
      <c r="D83" s="16">
        <f>VLOOKUP(A83,lista!$B$2:$C$13,2,0)</f>
        <v>3</v>
      </c>
    </row>
    <row r="84" spans="1:4" ht="15.75" x14ac:dyDescent="0.25">
      <c r="A84" s="19" t="s">
        <v>3</v>
      </c>
      <c r="B84" s="17" t="s">
        <v>46</v>
      </c>
      <c r="C84" s="18" t="s">
        <v>101</v>
      </c>
      <c r="D84" s="16">
        <f>VLOOKUP(A84,lista!$B$2:$C$13,2,0)</f>
        <v>3</v>
      </c>
    </row>
    <row r="85" spans="1:4" ht="15.75" x14ac:dyDescent="0.25">
      <c r="A85" s="19" t="s">
        <v>3</v>
      </c>
      <c r="B85" s="17" t="s">
        <v>46</v>
      </c>
      <c r="C85" s="18" t="s">
        <v>49</v>
      </c>
      <c r="D85" s="16">
        <f>VLOOKUP(A85,lista!$B$2:$C$13,2,0)</f>
        <v>3</v>
      </c>
    </row>
    <row r="86" spans="1:4" ht="15.75" x14ac:dyDescent="0.25">
      <c r="A86" s="19" t="s">
        <v>3</v>
      </c>
      <c r="B86" s="17" t="s">
        <v>51</v>
      </c>
      <c r="C86" s="18" t="s">
        <v>53</v>
      </c>
      <c r="D86" s="16">
        <f>VLOOKUP(A86,lista!$B$2:$C$13,2,0)</f>
        <v>3</v>
      </c>
    </row>
    <row r="87" spans="1:4" ht="15.75" x14ac:dyDescent="0.25">
      <c r="A87" s="19" t="s">
        <v>3</v>
      </c>
      <c r="B87" s="17" t="s">
        <v>51</v>
      </c>
      <c r="C87" s="18" t="s">
        <v>55</v>
      </c>
      <c r="D87" s="16">
        <f>VLOOKUP(A87,lista!$B$2:$C$13,2,0)</f>
        <v>3</v>
      </c>
    </row>
    <row r="88" spans="1:4" ht="15.75" x14ac:dyDescent="0.25">
      <c r="A88" s="19" t="s">
        <v>3</v>
      </c>
      <c r="B88" s="17" t="s">
        <v>51</v>
      </c>
      <c r="C88" s="18" t="s">
        <v>70</v>
      </c>
      <c r="D88" s="16">
        <f>VLOOKUP(A88,lista!$B$2:$C$13,2,0)</f>
        <v>3</v>
      </c>
    </row>
    <row r="89" spans="1:4" ht="15.75" x14ac:dyDescent="0.25">
      <c r="A89" s="19" t="s">
        <v>3</v>
      </c>
      <c r="B89" s="17" t="s">
        <v>51</v>
      </c>
      <c r="C89" s="18" t="s">
        <v>102</v>
      </c>
      <c r="D89" s="16">
        <f>VLOOKUP(A89,lista!$B$2:$C$13,2,0)</f>
        <v>3</v>
      </c>
    </row>
    <row r="90" spans="1:4" ht="15.75" x14ac:dyDescent="0.25">
      <c r="A90" s="19" t="s">
        <v>3</v>
      </c>
      <c r="B90" s="17" t="s">
        <v>57</v>
      </c>
      <c r="C90" s="18" t="s">
        <v>103</v>
      </c>
      <c r="D90" s="16">
        <f>VLOOKUP(A90,lista!$B$2:$C$13,2,0)</f>
        <v>3</v>
      </c>
    </row>
    <row r="91" spans="1:4" ht="15.75" x14ac:dyDescent="0.25">
      <c r="A91" s="19" t="s">
        <v>3</v>
      </c>
      <c r="B91" s="17" t="s">
        <v>57</v>
      </c>
      <c r="C91" s="18" t="s">
        <v>71</v>
      </c>
      <c r="D91" s="16">
        <f>VLOOKUP(A91,lista!$B$2:$C$13,2,0)</f>
        <v>3</v>
      </c>
    </row>
    <row r="92" spans="1:4" ht="15.75" x14ac:dyDescent="0.25">
      <c r="A92" s="19" t="s">
        <v>3</v>
      </c>
      <c r="B92" s="17" t="s">
        <v>57</v>
      </c>
      <c r="C92" s="18" t="s">
        <v>104</v>
      </c>
      <c r="D92" s="16">
        <f>VLOOKUP(A92,lista!$B$2:$C$13,2,0)</f>
        <v>3</v>
      </c>
    </row>
    <row r="93" spans="1:4" ht="15.75" x14ac:dyDescent="0.25">
      <c r="A93" s="19" t="s">
        <v>3</v>
      </c>
      <c r="B93" s="17" t="s">
        <v>57</v>
      </c>
      <c r="C93" s="18" t="s">
        <v>105</v>
      </c>
      <c r="D93" s="16">
        <f>VLOOKUP(A93,lista!$B$2:$C$13,2,0)</f>
        <v>3</v>
      </c>
    </row>
    <row r="94" spans="1:4" ht="15.75" x14ac:dyDescent="0.25">
      <c r="A94" s="19" t="s">
        <v>3</v>
      </c>
      <c r="B94" s="17" t="s">
        <v>73</v>
      </c>
      <c r="C94" s="18" t="s">
        <v>74</v>
      </c>
      <c r="D94" s="16">
        <f>VLOOKUP(A94,lista!$B$2:$C$13,2,0)</f>
        <v>3</v>
      </c>
    </row>
    <row r="95" spans="1:4" ht="15.75" x14ac:dyDescent="0.25">
      <c r="A95" s="19" t="s">
        <v>3</v>
      </c>
      <c r="B95" s="17" t="s">
        <v>73</v>
      </c>
      <c r="C95" s="18" t="s">
        <v>76</v>
      </c>
      <c r="D95" s="16">
        <f>VLOOKUP(A95,lista!$B$2:$C$13,2,0)</f>
        <v>3</v>
      </c>
    </row>
    <row r="96" spans="1:4" ht="15.75" x14ac:dyDescent="0.25">
      <c r="A96" s="19" t="s">
        <v>3</v>
      </c>
      <c r="B96" s="17" t="s">
        <v>73</v>
      </c>
      <c r="C96" s="18" t="s">
        <v>75</v>
      </c>
      <c r="D96" s="16">
        <f>VLOOKUP(A96,lista!$B$2:$C$13,2,0)</f>
        <v>3</v>
      </c>
    </row>
    <row r="97" spans="1:4" ht="15.75" x14ac:dyDescent="0.25">
      <c r="A97" s="19" t="s">
        <v>3</v>
      </c>
      <c r="B97" s="17" t="s">
        <v>73</v>
      </c>
      <c r="C97" s="18" t="s">
        <v>77</v>
      </c>
      <c r="D97" s="16">
        <f>VLOOKUP(A97,lista!$B$2:$C$13,2,0)</f>
        <v>3</v>
      </c>
    </row>
    <row r="98" spans="1:4" ht="15.75" x14ac:dyDescent="0.25">
      <c r="A98" s="19" t="s">
        <v>3</v>
      </c>
      <c r="B98" s="17" t="s">
        <v>73</v>
      </c>
      <c r="C98" s="18" t="s">
        <v>78</v>
      </c>
      <c r="D98" s="16">
        <f>VLOOKUP(A98,lista!$B$2:$C$13,2,0)</f>
        <v>3</v>
      </c>
    </row>
    <row r="99" spans="1:4" ht="15.75" x14ac:dyDescent="0.25">
      <c r="A99" s="19" t="s">
        <v>3</v>
      </c>
      <c r="B99" s="17" t="s">
        <v>63</v>
      </c>
      <c r="C99" s="17" t="s">
        <v>62</v>
      </c>
      <c r="D99" s="16">
        <f>VLOOKUP(A99,lista!$B$2:$C$13,2,0)</f>
        <v>3</v>
      </c>
    </row>
    <row r="100" spans="1:4" ht="15.75" x14ac:dyDescent="0.25">
      <c r="A100" s="19" t="s">
        <v>3</v>
      </c>
      <c r="B100" s="17" t="s">
        <v>63</v>
      </c>
      <c r="C100" s="17" t="s">
        <v>64</v>
      </c>
      <c r="D100" s="16">
        <f>VLOOKUP(A100,lista!$B$2:$C$13,2,0)</f>
        <v>3</v>
      </c>
    </row>
    <row r="101" spans="1:4" ht="15.75" x14ac:dyDescent="0.25">
      <c r="A101" s="19" t="s">
        <v>3</v>
      </c>
      <c r="B101" s="17" t="s">
        <v>63</v>
      </c>
      <c r="C101" s="17" t="s">
        <v>65</v>
      </c>
      <c r="D101" s="16">
        <f>VLOOKUP(A101,lista!$B$2:$C$13,2,0)</f>
        <v>3</v>
      </c>
    </row>
    <row r="102" spans="1:4" ht="15.75" x14ac:dyDescent="0.25">
      <c r="A102" s="19" t="s">
        <v>4</v>
      </c>
      <c r="B102" s="17" t="s">
        <v>46</v>
      </c>
      <c r="C102" s="18" t="s">
        <v>78</v>
      </c>
      <c r="D102" s="16">
        <f>VLOOKUP(A102,lista!$B$2:$C$13,2,0)</f>
        <v>4</v>
      </c>
    </row>
    <row r="103" spans="1:4" ht="15.75" x14ac:dyDescent="0.25">
      <c r="A103" s="19" t="s">
        <v>4</v>
      </c>
      <c r="B103" s="17" t="s">
        <v>46</v>
      </c>
      <c r="C103" s="18" t="s">
        <v>106</v>
      </c>
      <c r="D103" s="16">
        <f>VLOOKUP(A103,lista!$B$2:$C$13,2,0)</f>
        <v>4</v>
      </c>
    </row>
    <row r="104" spans="1:4" ht="15.75" x14ac:dyDescent="0.25">
      <c r="A104" s="19" t="s">
        <v>4</v>
      </c>
      <c r="B104" s="17" t="s">
        <v>46</v>
      </c>
      <c r="C104" s="18" t="s">
        <v>107</v>
      </c>
      <c r="D104" s="16">
        <f>VLOOKUP(A104,lista!$B$2:$C$13,2,0)</f>
        <v>4</v>
      </c>
    </row>
    <row r="105" spans="1:4" ht="15.75" x14ac:dyDescent="0.25">
      <c r="A105" s="19" t="s">
        <v>4</v>
      </c>
      <c r="B105" s="17" t="s">
        <v>46</v>
      </c>
      <c r="C105" s="18" t="s">
        <v>108</v>
      </c>
      <c r="D105" s="16">
        <f>VLOOKUP(A105,lista!$B$2:$C$13,2,0)</f>
        <v>4</v>
      </c>
    </row>
    <row r="106" spans="1:4" ht="15.75" x14ac:dyDescent="0.25">
      <c r="A106" s="19" t="s">
        <v>4</v>
      </c>
      <c r="B106" s="17" t="s">
        <v>46</v>
      </c>
      <c r="C106" s="18" t="s">
        <v>109</v>
      </c>
      <c r="D106" s="16">
        <f>VLOOKUP(A106,lista!$B$2:$C$13,2,0)</f>
        <v>4</v>
      </c>
    </row>
    <row r="107" spans="1:4" ht="15.75" x14ac:dyDescent="0.25">
      <c r="A107" s="19" t="s">
        <v>4</v>
      </c>
      <c r="B107" s="17" t="s">
        <v>51</v>
      </c>
      <c r="C107" s="18" t="s">
        <v>110</v>
      </c>
      <c r="D107" s="16">
        <f>VLOOKUP(A107,lista!$B$2:$C$13,2,0)</f>
        <v>4</v>
      </c>
    </row>
    <row r="108" spans="1:4" ht="15.75" x14ac:dyDescent="0.25">
      <c r="A108" s="19" t="s">
        <v>4</v>
      </c>
      <c r="B108" s="17" t="s">
        <v>51</v>
      </c>
      <c r="C108" s="18" t="s">
        <v>111</v>
      </c>
      <c r="D108" s="16">
        <f>VLOOKUP(A108,lista!$B$2:$C$13,2,0)</f>
        <v>4</v>
      </c>
    </row>
    <row r="109" spans="1:4" ht="15.75" x14ac:dyDescent="0.25">
      <c r="A109" s="19" t="s">
        <v>4</v>
      </c>
      <c r="B109" s="17" t="s">
        <v>51</v>
      </c>
      <c r="C109" s="18" t="s">
        <v>112</v>
      </c>
      <c r="D109" s="16">
        <f>VLOOKUP(A109,lista!$B$2:$C$13,2,0)</f>
        <v>4</v>
      </c>
    </row>
    <row r="110" spans="1:4" ht="15.75" x14ac:dyDescent="0.25">
      <c r="A110" s="19" t="s">
        <v>4</v>
      </c>
      <c r="B110" s="17" t="s">
        <v>51</v>
      </c>
      <c r="C110" s="18" t="s">
        <v>113</v>
      </c>
      <c r="D110" s="16">
        <f>VLOOKUP(A110,lista!$B$2:$C$13,2,0)</f>
        <v>4</v>
      </c>
    </row>
    <row r="111" spans="1:4" ht="15.75" x14ac:dyDescent="0.25">
      <c r="A111" s="19" t="s">
        <v>4</v>
      </c>
      <c r="B111" s="17" t="s">
        <v>57</v>
      </c>
      <c r="C111" s="18" t="s">
        <v>114</v>
      </c>
      <c r="D111" s="16">
        <f>VLOOKUP(A111,lista!$B$2:$C$13,2,0)</f>
        <v>4</v>
      </c>
    </row>
    <row r="112" spans="1:4" ht="15.75" x14ac:dyDescent="0.25">
      <c r="A112" s="19" t="s">
        <v>4</v>
      </c>
      <c r="B112" s="17" t="s">
        <v>57</v>
      </c>
      <c r="C112" s="18" t="s">
        <v>115</v>
      </c>
      <c r="D112" s="16">
        <f>VLOOKUP(A112,lista!$B$2:$C$13,2,0)</f>
        <v>4</v>
      </c>
    </row>
    <row r="113" spans="1:4" ht="15.75" x14ac:dyDescent="0.25">
      <c r="A113" s="19" t="s">
        <v>4</v>
      </c>
      <c r="B113" s="17" t="s">
        <v>57</v>
      </c>
      <c r="C113" s="18" t="s">
        <v>116</v>
      </c>
      <c r="D113" s="16">
        <f>VLOOKUP(A113,lista!$B$2:$C$13,2,0)</f>
        <v>4</v>
      </c>
    </row>
    <row r="114" spans="1:4" ht="15.75" x14ac:dyDescent="0.25">
      <c r="A114" s="19" t="s">
        <v>4</v>
      </c>
      <c r="B114" s="17" t="s">
        <v>57</v>
      </c>
      <c r="C114" s="18" t="s">
        <v>117</v>
      </c>
      <c r="D114" s="16">
        <f>VLOOKUP(A114,lista!$B$2:$C$13,2,0)</f>
        <v>4</v>
      </c>
    </row>
    <row r="115" spans="1:4" ht="15.75" x14ac:dyDescent="0.25">
      <c r="A115" s="19" t="s">
        <v>4</v>
      </c>
      <c r="B115" s="17" t="s">
        <v>73</v>
      </c>
      <c r="C115" s="18" t="s">
        <v>74</v>
      </c>
      <c r="D115" s="16">
        <f>VLOOKUP(A115,lista!$B$2:$C$13,2,0)</f>
        <v>4</v>
      </c>
    </row>
    <row r="116" spans="1:4" ht="15.75" x14ac:dyDescent="0.25">
      <c r="A116" s="19" t="s">
        <v>4</v>
      </c>
      <c r="B116" s="17" t="s">
        <v>73</v>
      </c>
      <c r="C116" s="18" t="s">
        <v>75</v>
      </c>
      <c r="D116" s="16">
        <f>VLOOKUP(A116,lista!$B$2:$C$13,2,0)</f>
        <v>4</v>
      </c>
    </row>
    <row r="117" spans="1:4" ht="15.75" x14ac:dyDescent="0.25">
      <c r="A117" s="19" t="s">
        <v>4</v>
      </c>
      <c r="B117" s="17" t="s">
        <v>73</v>
      </c>
      <c r="C117" s="18" t="s">
        <v>76</v>
      </c>
      <c r="D117" s="16">
        <f>VLOOKUP(A117,lista!$B$2:$C$13,2,0)</f>
        <v>4</v>
      </c>
    </row>
    <row r="118" spans="1:4" ht="15.75" x14ac:dyDescent="0.25">
      <c r="A118" s="19" t="s">
        <v>4</v>
      </c>
      <c r="B118" s="17" t="s">
        <v>73</v>
      </c>
      <c r="C118" s="18" t="s">
        <v>77</v>
      </c>
      <c r="D118" s="16">
        <f>VLOOKUP(A118,lista!$B$2:$C$13,2,0)</f>
        <v>4</v>
      </c>
    </row>
    <row r="119" spans="1:4" ht="15.75" x14ac:dyDescent="0.25">
      <c r="A119" s="19" t="s">
        <v>4</v>
      </c>
      <c r="B119" s="17" t="s">
        <v>63</v>
      </c>
      <c r="C119" s="17" t="s">
        <v>62</v>
      </c>
      <c r="D119" s="16">
        <f>VLOOKUP(A119,lista!$B$2:$C$13,2,0)</f>
        <v>4</v>
      </c>
    </row>
    <row r="120" spans="1:4" ht="15.75" x14ac:dyDescent="0.25">
      <c r="A120" s="19" t="s">
        <v>4</v>
      </c>
      <c r="B120" s="17" t="s">
        <v>63</v>
      </c>
      <c r="C120" s="17" t="s">
        <v>64</v>
      </c>
      <c r="D120" s="16">
        <f>VLOOKUP(A120,lista!$B$2:$C$13,2,0)</f>
        <v>4</v>
      </c>
    </row>
    <row r="121" spans="1:4" ht="15.75" x14ac:dyDescent="0.25">
      <c r="A121" s="19" t="s">
        <v>4</v>
      </c>
      <c r="B121" s="17" t="s">
        <v>63</v>
      </c>
      <c r="C121" s="17" t="s">
        <v>65</v>
      </c>
      <c r="D121" s="16">
        <f>VLOOKUP(A121,lista!$B$2:$C$13,2,0)</f>
        <v>4</v>
      </c>
    </row>
    <row r="122" spans="1:4" ht="15.75" x14ac:dyDescent="0.25">
      <c r="A122" s="19" t="s">
        <v>5</v>
      </c>
      <c r="B122" s="17" t="s">
        <v>46</v>
      </c>
      <c r="C122" s="18" t="s">
        <v>78</v>
      </c>
      <c r="D122" s="16">
        <f>VLOOKUP(A122,lista!$B$2:$C$13,2,0)</f>
        <v>8</v>
      </c>
    </row>
    <row r="123" spans="1:4" ht="15.75" x14ac:dyDescent="0.25">
      <c r="A123" s="19" t="s">
        <v>5</v>
      </c>
      <c r="B123" s="17" t="s">
        <v>46</v>
      </c>
      <c r="C123" s="18" t="s">
        <v>118</v>
      </c>
      <c r="D123" s="16">
        <f>VLOOKUP(A123,lista!$B$2:$C$13,2,0)</f>
        <v>8</v>
      </c>
    </row>
    <row r="124" spans="1:4" ht="15.75" x14ac:dyDescent="0.25">
      <c r="A124" s="19" t="s">
        <v>5</v>
      </c>
      <c r="B124" s="17" t="s">
        <v>46</v>
      </c>
      <c r="C124" s="18" t="s">
        <v>119</v>
      </c>
      <c r="D124" s="16">
        <f>VLOOKUP(A124,lista!$B$2:$C$13,2,0)</f>
        <v>8</v>
      </c>
    </row>
    <row r="125" spans="1:4" ht="15.75" x14ac:dyDescent="0.25">
      <c r="A125" s="19" t="s">
        <v>5</v>
      </c>
      <c r="B125" s="17" t="s">
        <v>46</v>
      </c>
      <c r="C125" s="18" t="s">
        <v>120</v>
      </c>
      <c r="D125" s="16">
        <f>VLOOKUP(A125,lista!$B$2:$C$13,2,0)</f>
        <v>8</v>
      </c>
    </row>
    <row r="126" spans="1:4" ht="15.75" x14ac:dyDescent="0.25">
      <c r="A126" s="19" t="s">
        <v>5</v>
      </c>
      <c r="B126" s="17" t="s">
        <v>51</v>
      </c>
      <c r="C126" s="18" t="s">
        <v>121</v>
      </c>
      <c r="D126" s="16">
        <f>VLOOKUP(A126,lista!$B$2:$C$13,2,0)</f>
        <v>8</v>
      </c>
    </row>
    <row r="127" spans="1:4" ht="15.75" x14ac:dyDescent="0.25">
      <c r="A127" s="19" t="s">
        <v>5</v>
      </c>
      <c r="B127" s="17" t="s">
        <v>51</v>
      </c>
      <c r="C127" s="18" t="s">
        <v>91</v>
      </c>
      <c r="D127" s="16">
        <f>VLOOKUP(A127,lista!$B$2:$C$13,2,0)</f>
        <v>8</v>
      </c>
    </row>
    <row r="128" spans="1:4" ht="15.75" x14ac:dyDescent="0.25">
      <c r="A128" s="19" t="s">
        <v>5</v>
      </c>
      <c r="B128" s="17" t="s">
        <v>51</v>
      </c>
      <c r="C128" s="18" t="s">
        <v>92</v>
      </c>
      <c r="D128" s="16">
        <f>VLOOKUP(A128,lista!$B$2:$C$13,2,0)</f>
        <v>8</v>
      </c>
    </row>
    <row r="129" spans="1:4" ht="15.75" x14ac:dyDescent="0.25">
      <c r="A129" s="19" t="s">
        <v>5</v>
      </c>
      <c r="B129" s="17" t="s">
        <v>51</v>
      </c>
      <c r="C129" s="18" t="s">
        <v>114</v>
      </c>
      <c r="D129" s="16">
        <f>VLOOKUP(A129,lista!$B$2:$C$13,2,0)</f>
        <v>8</v>
      </c>
    </row>
    <row r="130" spans="1:4" ht="15.75" x14ac:dyDescent="0.25">
      <c r="A130" s="19" t="s">
        <v>5</v>
      </c>
      <c r="B130" s="17" t="s">
        <v>57</v>
      </c>
      <c r="C130" s="18" t="s">
        <v>122</v>
      </c>
      <c r="D130" s="16">
        <f>VLOOKUP(A130,lista!$B$2:$C$13,2,0)</f>
        <v>8</v>
      </c>
    </row>
    <row r="131" spans="1:4" ht="15.75" x14ac:dyDescent="0.25">
      <c r="A131" s="19" t="s">
        <v>5</v>
      </c>
      <c r="B131" s="17" t="s">
        <v>57</v>
      </c>
      <c r="C131" s="18" t="s">
        <v>123</v>
      </c>
      <c r="D131" s="16">
        <f>VLOOKUP(A131,lista!$B$2:$C$13,2,0)</f>
        <v>8</v>
      </c>
    </row>
    <row r="132" spans="1:4" ht="15.75" x14ac:dyDescent="0.25">
      <c r="A132" s="19" t="s">
        <v>5</v>
      </c>
      <c r="B132" s="17" t="s">
        <v>57</v>
      </c>
      <c r="C132" s="18" t="s">
        <v>124</v>
      </c>
      <c r="D132" s="16">
        <f>VLOOKUP(A132,lista!$B$2:$C$13,2,0)</f>
        <v>8</v>
      </c>
    </row>
    <row r="133" spans="1:4" ht="15.75" x14ac:dyDescent="0.25">
      <c r="A133" s="19" t="s">
        <v>5</v>
      </c>
      <c r="B133" s="17" t="s">
        <v>57</v>
      </c>
      <c r="C133" s="18" t="s">
        <v>85</v>
      </c>
      <c r="D133" s="16">
        <f>VLOOKUP(A133,lista!$B$2:$C$13,2,0)</f>
        <v>8</v>
      </c>
    </row>
    <row r="134" spans="1:4" ht="15.75" x14ac:dyDescent="0.25">
      <c r="A134" s="19" t="s">
        <v>5</v>
      </c>
      <c r="B134" s="17" t="s">
        <v>57</v>
      </c>
      <c r="C134" s="18" t="s">
        <v>59</v>
      </c>
      <c r="D134" s="16">
        <f>VLOOKUP(A134,lista!$B$2:$C$13,2,0)</f>
        <v>8</v>
      </c>
    </row>
    <row r="135" spans="1:4" ht="15.75" x14ac:dyDescent="0.25">
      <c r="A135" s="19" t="s">
        <v>5</v>
      </c>
      <c r="B135" s="17" t="s">
        <v>73</v>
      </c>
      <c r="C135" s="18" t="s">
        <v>74</v>
      </c>
      <c r="D135" s="16">
        <f>VLOOKUP(A135,lista!$B$2:$C$13,2,0)</f>
        <v>8</v>
      </c>
    </row>
    <row r="136" spans="1:4" ht="15.75" x14ac:dyDescent="0.25">
      <c r="A136" s="19" t="s">
        <v>5</v>
      </c>
      <c r="B136" s="17" t="s">
        <v>73</v>
      </c>
      <c r="C136" s="18" t="s">
        <v>75</v>
      </c>
      <c r="D136" s="16">
        <f>VLOOKUP(A136,lista!$B$2:$C$13,2,0)</f>
        <v>8</v>
      </c>
    </row>
    <row r="137" spans="1:4" ht="15.75" x14ac:dyDescent="0.25">
      <c r="A137" s="19" t="s">
        <v>5</v>
      </c>
      <c r="B137" s="17" t="s">
        <v>73</v>
      </c>
      <c r="C137" s="18" t="s">
        <v>76</v>
      </c>
      <c r="D137" s="16">
        <f>VLOOKUP(A137,lista!$B$2:$C$13,2,0)</f>
        <v>8</v>
      </c>
    </row>
    <row r="138" spans="1:4" ht="15.75" x14ac:dyDescent="0.25">
      <c r="A138" s="19" t="s">
        <v>5</v>
      </c>
      <c r="B138" s="17" t="s">
        <v>73</v>
      </c>
      <c r="C138" s="18" t="s">
        <v>77</v>
      </c>
      <c r="D138" s="16">
        <f>VLOOKUP(A138,lista!$B$2:$C$13,2,0)</f>
        <v>8</v>
      </c>
    </row>
    <row r="139" spans="1:4" ht="15.75" x14ac:dyDescent="0.25">
      <c r="A139" s="19" t="s">
        <v>5</v>
      </c>
      <c r="B139" s="17" t="s">
        <v>63</v>
      </c>
      <c r="C139" s="17" t="s">
        <v>62</v>
      </c>
      <c r="D139" s="16">
        <f>VLOOKUP(A139,lista!$B$2:$C$13,2,0)</f>
        <v>8</v>
      </c>
    </row>
    <row r="140" spans="1:4" ht="15.75" x14ac:dyDescent="0.25">
      <c r="A140" s="19" t="s">
        <v>5</v>
      </c>
      <c r="B140" s="17" t="s">
        <v>63</v>
      </c>
      <c r="C140" s="17" t="s">
        <v>64</v>
      </c>
      <c r="D140" s="16">
        <f>VLOOKUP(A140,lista!$B$2:$C$13,2,0)</f>
        <v>8</v>
      </c>
    </row>
    <row r="141" spans="1:4" ht="15.75" x14ac:dyDescent="0.25">
      <c r="A141" s="19" t="s">
        <v>5</v>
      </c>
      <c r="B141" s="17" t="s">
        <v>63</v>
      </c>
      <c r="C141" s="17" t="s">
        <v>65</v>
      </c>
      <c r="D141" s="16">
        <f>VLOOKUP(A141,lista!$B$2:$C$13,2,0)</f>
        <v>8</v>
      </c>
    </row>
    <row r="142" spans="1:4" ht="15.75" x14ac:dyDescent="0.25">
      <c r="A142" s="19" t="s">
        <v>6</v>
      </c>
      <c r="B142" s="17" t="s">
        <v>66</v>
      </c>
      <c r="C142" s="18" t="s">
        <v>90</v>
      </c>
      <c r="D142" s="16">
        <f>VLOOKUP(A142,lista!$B$2:$C$13,2,0)</f>
        <v>7</v>
      </c>
    </row>
    <row r="143" spans="1:4" ht="15.75" x14ac:dyDescent="0.25">
      <c r="A143" s="19" t="s">
        <v>6</v>
      </c>
      <c r="B143" s="17" t="s">
        <v>46</v>
      </c>
      <c r="C143" s="18" t="s">
        <v>125</v>
      </c>
      <c r="D143" s="16">
        <f>VLOOKUP(A143,lista!$B$2:$C$13,2,0)</f>
        <v>7</v>
      </c>
    </row>
    <row r="144" spans="1:4" ht="15.75" x14ac:dyDescent="0.25">
      <c r="A144" s="19" t="s">
        <v>6</v>
      </c>
      <c r="B144" s="17" t="s">
        <v>46</v>
      </c>
      <c r="C144" s="18" t="s">
        <v>126</v>
      </c>
      <c r="D144" s="16">
        <f>VLOOKUP(A144,lista!$B$2:$C$13,2,0)</f>
        <v>7</v>
      </c>
    </row>
    <row r="145" spans="1:4" ht="15.75" x14ac:dyDescent="0.25">
      <c r="A145" s="19" t="s">
        <v>6</v>
      </c>
      <c r="B145" s="17" t="s">
        <v>46</v>
      </c>
      <c r="C145" s="18" t="s">
        <v>85</v>
      </c>
      <c r="D145" s="16">
        <f>VLOOKUP(A145,lista!$B$2:$C$13,2,0)</f>
        <v>7</v>
      </c>
    </row>
    <row r="146" spans="1:4" ht="15.75" x14ac:dyDescent="0.25">
      <c r="A146" s="19" t="s">
        <v>6</v>
      </c>
      <c r="B146" s="17" t="s">
        <v>46</v>
      </c>
      <c r="C146" s="18" t="s">
        <v>86</v>
      </c>
      <c r="D146" s="16">
        <f>VLOOKUP(A146,lista!$B$2:$C$13,2,0)</f>
        <v>7</v>
      </c>
    </row>
    <row r="147" spans="1:4" ht="15.75" x14ac:dyDescent="0.25">
      <c r="A147" s="19" t="s">
        <v>6</v>
      </c>
      <c r="B147" s="17" t="s">
        <v>51</v>
      </c>
      <c r="C147" s="18" t="s">
        <v>87</v>
      </c>
      <c r="D147" s="16">
        <f>VLOOKUP(A147,lista!$B$2:$C$13,2,0)</f>
        <v>7</v>
      </c>
    </row>
    <row r="148" spans="1:4" ht="15.75" x14ac:dyDescent="0.25">
      <c r="A148" s="19" t="s">
        <v>6</v>
      </c>
      <c r="B148" s="17" t="s">
        <v>51</v>
      </c>
      <c r="C148" s="18" t="s">
        <v>49</v>
      </c>
      <c r="D148" s="16">
        <f>VLOOKUP(A148,lista!$B$2:$C$13,2,0)</f>
        <v>7</v>
      </c>
    </row>
    <row r="149" spans="1:4" ht="15.75" x14ac:dyDescent="0.25">
      <c r="A149" s="19" t="s">
        <v>6</v>
      </c>
      <c r="B149" s="17" t="s">
        <v>51</v>
      </c>
      <c r="C149" s="18" t="s">
        <v>127</v>
      </c>
      <c r="D149" s="16">
        <f>VLOOKUP(A149,lista!$B$2:$C$13,2,0)</f>
        <v>7</v>
      </c>
    </row>
    <row r="150" spans="1:4" ht="15.75" x14ac:dyDescent="0.25">
      <c r="A150" s="19" t="s">
        <v>6</v>
      </c>
      <c r="B150" s="17" t="s">
        <v>51</v>
      </c>
      <c r="C150" s="18" t="s">
        <v>128</v>
      </c>
      <c r="D150" s="16">
        <f>VLOOKUP(A150,lista!$B$2:$C$13,2,0)</f>
        <v>7</v>
      </c>
    </row>
    <row r="151" spans="1:4" ht="15.75" x14ac:dyDescent="0.25">
      <c r="A151" s="19" t="s">
        <v>6</v>
      </c>
      <c r="B151" s="17" t="s">
        <v>57</v>
      </c>
      <c r="C151" s="18" t="s">
        <v>129</v>
      </c>
      <c r="D151" s="16">
        <f>VLOOKUP(A151,lista!$B$2:$C$13,2,0)</f>
        <v>7</v>
      </c>
    </row>
    <row r="152" spans="1:4" ht="15.75" x14ac:dyDescent="0.25">
      <c r="A152" s="19" t="s">
        <v>6</v>
      </c>
      <c r="B152" s="17" t="s">
        <v>57</v>
      </c>
      <c r="C152" s="18" t="s">
        <v>130</v>
      </c>
      <c r="D152" s="16">
        <f>VLOOKUP(A152,lista!$B$2:$C$13,2,0)</f>
        <v>7</v>
      </c>
    </row>
    <row r="153" spans="1:4" ht="15.75" x14ac:dyDescent="0.25">
      <c r="A153" s="19" t="s">
        <v>6</v>
      </c>
      <c r="B153" s="17" t="s">
        <v>57</v>
      </c>
      <c r="C153" s="18" t="s">
        <v>131</v>
      </c>
      <c r="D153" s="16">
        <f>VLOOKUP(A153,lista!$B$2:$C$13,2,0)</f>
        <v>7</v>
      </c>
    </row>
    <row r="154" spans="1:4" ht="15.75" x14ac:dyDescent="0.25">
      <c r="A154" s="19" t="s">
        <v>6</v>
      </c>
      <c r="B154" s="17" t="s">
        <v>57</v>
      </c>
      <c r="C154" s="18" t="s">
        <v>132</v>
      </c>
      <c r="D154" s="16">
        <f>VLOOKUP(A154,lista!$B$2:$C$13,2,0)</f>
        <v>7</v>
      </c>
    </row>
    <row r="155" spans="1:4" ht="15.75" x14ac:dyDescent="0.25">
      <c r="A155" s="19" t="s">
        <v>6</v>
      </c>
      <c r="B155" s="17" t="s">
        <v>73</v>
      </c>
      <c r="C155" s="18" t="s">
        <v>133</v>
      </c>
      <c r="D155" s="16">
        <f>VLOOKUP(A155,lista!$B$2:$C$13,2,0)</f>
        <v>7</v>
      </c>
    </row>
    <row r="156" spans="1:4" ht="15.75" x14ac:dyDescent="0.25">
      <c r="A156" s="19" t="s">
        <v>6</v>
      </c>
      <c r="B156" s="17" t="s">
        <v>73</v>
      </c>
      <c r="C156" s="18" t="s">
        <v>75</v>
      </c>
      <c r="D156" s="16">
        <f>VLOOKUP(A156,lista!$B$2:$C$13,2,0)</f>
        <v>7</v>
      </c>
    </row>
    <row r="157" spans="1:4" ht="15.75" x14ac:dyDescent="0.25">
      <c r="A157" s="19" t="s">
        <v>6</v>
      </c>
      <c r="B157" s="17" t="s">
        <v>73</v>
      </c>
      <c r="C157" s="18" t="s">
        <v>76</v>
      </c>
      <c r="D157" s="16">
        <f>VLOOKUP(A157,lista!$B$2:$C$13,2,0)</f>
        <v>7</v>
      </c>
    </row>
    <row r="158" spans="1:4" ht="15.75" x14ac:dyDescent="0.25">
      <c r="A158" s="19" t="s">
        <v>6</v>
      </c>
      <c r="B158" s="17" t="s">
        <v>73</v>
      </c>
      <c r="C158" s="18" t="s">
        <v>77</v>
      </c>
      <c r="D158" s="16">
        <f>VLOOKUP(A158,lista!$B$2:$C$13,2,0)</f>
        <v>7</v>
      </c>
    </row>
    <row r="159" spans="1:4" ht="15.75" x14ac:dyDescent="0.25">
      <c r="A159" s="19" t="s">
        <v>6</v>
      </c>
      <c r="B159" s="17" t="s">
        <v>73</v>
      </c>
      <c r="C159" s="18" t="s">
        <v>78</v>
      </c>
      <c r="D159" s="16">
        <f>VLOOKUP(A159,lista!$B$2:$C$13,2,0)</f>
        <v>7</v>
      </c>
    </row>
    <row r="160" spans="1:4" ht="15.75" x14ac:dyDescent="0.25">
      <c r="A160" s="19" t="s">
        <v>6</v>
      </c>
      <c r="B160" s="17" t="s">
        <v>63</v>
      </c>
      <c r="C160" s="17" t="s">
        <v>62</v>
      </c>
      <c r="D160" s="16">
        <f>VLOOKUP(A160,lista!$B$2:$C$13,2,0)</f>
        <v>7</v>
      </c>
    </row>
    <row r="161" spans="1:4" ht="15.75" x14ac:dyDescent="0.25">
      <c r="A161" s="19" t="s">
        <v>6</v>
      </c>
      <c r="B161" s="17" t="s">
        <v>63</v>
      </c>
      <c r="C161" s="17" t="s">
        <v>64</v>
      </c>
      <c r="D161" s="16">
        <f>VLOOKUP(A161,lista!$B$2:$C$13,2,0)</f>
        <v>7</v>
      </c>
    </row>
    <row r="162" spans="1:4" ht="15.75" x14ac:dyDescent="0.25">
      <c r="A162" s="19" t="s">
        <v>6</v>
      </c>
      <c r="B162" s="17" t="s">
        <v>63</v>
      </c>
      <c r="C162" s="17" t="s">
        <v>65</v>
      </c>
      <c r="D162" s="16">
        <f>VLOOKUP(A162,lista!$B$2:$C$13,2,0)</f>
        <v>7</v>
      </c>
    </row>
    <row r="163" spans="1:4" ht="15.75" x14ac:dyDescent="0.25">
      <c r="A163" s="20" t="s">
        <v>7</v>
      </c>
      <c r="B163" s="17" t="s">
        <v>46</v>
      </c>
      <c r="C163" s="18" t="s">
        <v>118</v>
      </c>
      <c r="D163" s="16">
        <f>VLOOKUP(A163,lista!$B$2:$C$13,2,0)</f>
        <v>11</v>
      </c>
    </row>
    <row r="164" spans="1:4" ht="15.75" x14ac:dyDescent="0.25">
      <c r="A164" s="20" t="s">
        <v>7</v>
      </c>
      <c r="B164" s="17" t="s">
        <v>46</v>
      </c>
      <c r="C164" s="18" t="s">
        <v>134</v>
      </c>
      <c r="D164" s="16">
        <f>VLOOKUP(A164,lista!$B$2:$C$13,2,0)</f>
        <v>11</v>
      </c>
    </row>
    <row r="165" spans="1:4" ht="15.75" x14ac:dyDescent="0.25">
      <c r="A165" s="20" t="s">
        <v>7</v>
      </c>
      <c r="B165" s="17" t="s">
        <v>46</v>
      </c>
      <c r="C165" s="18" t="s">
        <v>135</v>
      </c>
      <c r="D165" s="16">
        <f>VLOOKUP(A165,lista!$B$2:$C$13,2,0)</f>
        <v>11</v>
      </c>
    </row>
    <row r="166" spans="1:4" ht="15.75" x14ac:dyDescent="0.25">
      <c r="A166" s="20" t="s">
        <v>7</v>
      </c>
      <c r="B166" s="17" t="s">
        <v>46</v>
      </c>
      <c r="C166" s="18" t="s">
        <v>136</v>
      </c>
      <c r="D166" s="16">
        <f>VLOOKUP(A166,lista!$B$2:$C$13,2,0)</f>
        <v>11</v>
      </c>
    </row>
    <row r="167" spans="1:4" ht="15.75" x14ac:dyDescent="0.25">
      <c r="A167" s="20" t="s">
        <v>7</v>
      </c>
      <c r="B167" s="17" t="s">
        <v>51</v>
      </c>
      <c r="C167" s="18" t="s">
        <v>137</v>
      </c>
      <c r="D167" s="16">
        <f>VLOOKUP(A167,lista!$B$2:$C$13,2,0)</f>
        <v>11</v>
      </c>
    </row>
    <row r="168" spans="1:4" ht="15.75" x14ac:dyDescent="0.25">
      <c r="A168" s="20" t="s">
        <v>7</v>
      </c>
      <c r="B168" s="17" t="s">
        <v>51</v>
      </c>
      <c r="C168" s="18" t="s">
        <v>138</v>
      </c>
      <c r="D168" s="16">
        <f>VLOOKUP(A168,lista!$B$2:$C$13,2,0)</f>
        <v>11</v>
      </c>
    </row>
    <row r="169" spans="1:4" ht="15.75" x14ac:dyDescent="0.25">
      <c r="A169" s="20" t="s">
        <v>7</v>
      </c>
      <c r="B169" s="17" t="s">
        <v>51</v>
      </c>
      <c r="C169" s="18" t="s">
        <v>139</v>
      </c>
      <c r="D169" s="16">
        <f>VLOOKUP(A169,lista!$B$2:$C$13,2,0)</f>
        <v>11</v>
      </c>
    </row>
    <row r="170" spans="1:4" ht="15.75" x14ac:dyDescent="0.25">
      <c r="A170" s="20" t="s">
        <v>7</v>
      </c>
      <c r="B170" s="17" t="s">
        <v>51</v>
      </c>
      <c r="C170" s="18" t="s">
        <v>140</v>
      </c>
      <c r="D170" s="16">
        <f>VLOOKUP(A170,lista!$B$2:$C$13,2,0)</f>
        <v>11</v>
      </c>
    </row>
    <row r="171" spans="1:4" ht="15.75" x14ac:dyDescent="0.25">
      <c r="A171" s="20" t="s">
        <v>7</v>
      </c>
      <c r="B171" s="17" t="s">
        <v>57</v>
      </c>
      <c r="C171" s="18" t="s">
        <v>141</v>
      </c>
      <c r="D171" s="16">
        <f>VLOOKUP(A171,lista!$B$2:$C$13,2,0)</f>
        <v>11</v>
      </c>
    </row>
    <row r="172" spans="1:4" ht="15.75" x14ac:dyDescent="0.25">
      <c r="A172" s="20" t="s">
        <v>7</v>
      </c>
      <c r="B172" s="17" t="s">
        <v>57</v>
      </c>
      <c r="C172" s="18" t="s">
        <v>142</v>
      </c>
      <c r="D172" s="16">
        <f>VLOOKUP(A172,lista!$B$2:$C$13,2,0)</f>
        <v>11</v>
      </c>
    </row>
    <row r="173" spans="1:4" ht="15.75" x14ac:dyDescent="0.25">
      <c r="A173" s="20" t="s">
        <v>7</v>
      </c>
      <c r="B173" s="17" t="s">
        <v>57</v>
      </c>
      <c r="C173" s="18" t="s">
        <v>143</v>
      </c>
      <c r="D173" s="16">
        <f>VLOOKUP(A173,lista!$B$2:$C$13,2,0)</f>
        <v>11</v>
      </c>
    </row>
    <row r="174" spans="1:4" ht="15.75" x14ac:dyDescent="0.25">
      <c r="A174" s="20" t="s">
        <v>7</v>
      </c>
      <c r="B174" s="17" t="s">
        <v>57</v>
      </c>
      <c r="C174" s="18" t="s">
        <v>144</v>
      </c>
      <c r="D174" s="16">
        <f>VLOOKUP(A174,lista!$B$2:$C$13,2,0)</f>
        <v>11</v>
      </c>
    </row>
    <row r="175" spans="1:4" ht="15.75" x14ac:dyDescent="0.25">
      <c r="A175" s="20" t="s">
        <v>7</v>
      </c>
      <c r="B175" s="17" t="s">
        <v>63</v>
      </c>
      <c r="C175" s="17" t="s">
        <v>62</v>
      </c>
      <c r="D175" s="16">
        <f>VLOOKUP(A175,lista!$B$2:$C$13,2,0)</f>
        <v>11</v>
      </c>
    </row>
    <row r="176" spans="1:4" ht="15.75" x14ac:dyDescent="0.25">
      <c r="A176" s="20" t="s">
        <v>7</v>
      </c>
      <c r="B176" s="17" t="s">
        <v>63</v>
      </c>
      <c r="C176" s="17" t="s">
        <v>64</v>
      </c>
      <c r="D176" s="16">
        <f>VLOOKUP(A176,lista!$B$2:$C$13,2,0)</f>
        <v>11</v>
      </c>
    </row>
    <row r="177" spans="1:4" ht="15.75" x14ac:dyDescent="0.25">
      <c r="A177" s="20" t="s">
        <v>7</v>
      </c>
      <c r="B177" s="17" t="s">
        <v>63</v>
      </c>
      <c r="C177" s="17" t="s">
        <v>65</v>
      </c>
      <c r="D177" s="16">
        <f>VLOOKUP(A177,lista!$B$2:$C$13,2,0)</f>
        <v>11</v>
      </c>
    </row>
    <row r="178" spans="1:4" ht="15.75" x14ac:dyDescent="0.25">
      <c r="A178" s="19" t="s">
        <v>9</v>
      </c>
      <c r="B178" s="17" t="s">
        <v>46</v>
      </c>
      <c r="C178" s="18" t="s">
        <v>125</v>
      </c>
      <c r="D178" s="16">
        <f>VLOOKUP(A178,lista!$B$2:$C$13,2,0)</f>
        <v>5</v>
      </c>
    </row>
    <row r="179" spans="1:4" ht="15.75" x14ac:dyDescent="0.25">
      <c r="A179" s="19" t="s">
        <v>9</v>
      </c>
      <c r="B179" s="17" t="s">
        <v>46</v>
      </c>
      <c r="C179" s="18" t="s">
        <v>126</v>
      </c>
      <c r="D179" s="16">
        <f>VLOOKUP(A179,lista!$B$2:$C$13,2,0)</f>
        <v>5</v>
      </c>
    </row>
    <row r="180" spans="1:4" ht="15.75" x14ac:dyDescent="0.25">
      <c r="A180" s="19" t="s">
        <v>9</v>
      </c>
      <c r="B180" s="17" t="s">
        <v>46</v>
      </c>
      <c r="C180" s="18" t="s">
        <v>145</v>
      </c>
      <c r="D180" s="16">
        <f>VLOOKUP(A180,lista!$B$2:$C$13,2,0)</f>
        <v>5</v>
      </c>
    </row>
    <row r="181" spans="1:4" ht="15.75" x14ac:dyDescent="0.25">
      <c r="A181" s="19" t="s">
        <v>9</v>
      </c>
      <c r="B181" s="17" t="s">
        <v>46</v>
      </c>
      <c r="C181" s="18" t="s">
        <v>146</v>
      </c>
      <c r="D181" s="16">
        <f>VLOOKUP(A181,lista!$B$2:$C$13,2,0)</f>
        <v>5</v>
      </c>
    </row>
    <row r="182" spans="1:4" ht="15.75" x14ac:dyDescent="0.25">
      <c r="A182" s="19" t="s">
        <v>9</v>
      </c>
      <c r="B182" s="17" t="s">
        <v>51</v>
      </c>
      <c r="C182" s="18" t="s">
        <v>147</v>
      </c>
      <c r="D182" s="16">
        <f>VLOOKUP(A182,lista!$B$2:$C$13,2,0)</f>
        <v>5</v>
      </c>
    </row>
    <row r="183" spans="1:4" ht="15.75" x14ac:dyDescent="0.25">
      <c r="A183" s="19" t="s">
        <v>9</v>
      </c>
      <c r="B183" s="17" t="s">
        <v>51</v>
      </c>
      <c r="C183" s="18" t="s">
        <v>49</v>
      </c>
      <c r="D183" s="16">
        <f>VLOOKUP(A183,lista!$B$2:$C$13,2,0)</f>
        <v>5</v>
      </c>
    </row>
    <row r="184" spans="1:4" ht="15.75" x14ac:dyDescent="0.25">
      <c r="A184" s="19" t="s">
        <v>9</v>
      </c>
      <c r="B184" s="17" t="s">
        <v>51</v>
      </c>
      <c r="C184" s="18" t="s">
        <v>148</v>
      </c>
      <c r="D184" s="16">
        <f>VLOOKUP(A184,lista!$B$2:$C$13,2,0)</f>
        <v>5</v>
      </c>
    </row>
    <row r="185" spans="1:4" ht="15.75" x14ac:dyDescent="0.25">
      <c r="A185" s="19" t="s">
        <v>9</v>
      </c>
      <c r="B185" s="17" t="s">
        <v>51</v>
      </c>
      <c r="C185" s="18" t="s">
        <v>149</v>
      </c>
      <c r="D185" s="16">
        <f>VLOOKUP(A185,lista!$B$2:$C$13,2,0)</f>
        <v>5</v>
      </c>
    </row>
    <row r="186" spans="1:4" ht="15.75" x14ac:dyDescent="0.25">
      <c r="A186" s="19" t="s">
        <v>9</v>
      </c>
      <c r="B186" s="17" t="s">
        <v>57</v>
      </c>
      <c r="C186" s="18" t="s">
        <v>150</v>
      </c>
      <c r="D186" s="16">
        <f>VLOOKUP(A186,lista!$B$2:$C$13,2,0)</f>
        <v>5</v>
      </c>
    </row>
    <row r="187" spans="1:4" ht="15.75" x14ac:dyDescent="0.25">
      <c r="A187" s="19" t="s">
        <v>9</v>
      </c>
      <c r="B187" s="17" t="s">
        <v>57</v>
      </c>
      <c r="C187" s="18" t="s">
        <v>68</v>
      </c>
      <c r="D187" s="16">
        <f>VLOOKUP(A187,lista!$B$2:$C$13,2,0)</f>
        <v>5</v>
      </c>
    </row>
    <row r="188" spans="1:4" ht="15.75" x14ac:dyDescent="0.25">
      <c r="A188" s="19" t="s">
        <v>9</v>
      </c>
      <c r="B188" s="17" t="s">
        <v>57</v>
      </c>
      <c r="C188" s="18" t="s">
        <v>131</v>
      </c>
      <c r="D188" s="16">
        <f>VLOOKUP(A188,lista!$B$2:$C$13,2,0)</f>
        <v>5</v>
      </c>
    </row>
    <row r="189" spans="1:4" ht="15.75" x14ac:dyDescent="0.25">
      <c r="A189" s="19" t="s">
        <v>9</v>
      </c>
      <c r="B189" s="17" t="s">
        <v>57</v>
      </c>
      <c r="C189" s="18" t="s">
        <v>118</v>
      </c>
      <c r="D189" s="16">
        <f>VLOOKUP(A189,lista!$B$2:$C$13,2,0)</f>
        <v>5</v>
      </c>
    </row>
    <row r="190" spans="1:4" ht="15.75" x14ac:dyDescent="0.25">
      <c r="A190" s="19" t="s">
        <v>9</v>
      </c>
      <c r="B190" s="17" t="s">
        <v>73</v>
      </c>
      <c r="C190" s="18" t="s">
        <v>78</v>
      </c>
      <c r="D190" s="16">
        <f>VLOOKUP(A190,lista!$B$2:$C$13,2,0)</f>
        <v>5</v>
      </c>
    </row>
    <row r="191" spans="1:4" ht="15.75" x14ac:dyDescent="0.25">
      <c r="A191" s="19" t="s">
        <v>9</v>
      </c>
      <c r="B191" s="17" t="s">
        <v>63</v>
      </c>
      <c r="C191" s="17" t="s">
        <v>62</v>
      </c>
      <c r="D191" s="16">
        <f>VLOOKUP(A191,lista!$B$2:$C$13,2,0)</f>
        <v>5</v>
      </c>
    </row>
    <row r="192" spans="1:4" ht="15.75" x14ac:dyDescent="0.25">
      <c r="A192" s="19" t="s">
        <v>9</v>
      </c>
      <c r="B192" s="17" t="s">
        <v>63</v>
      </c>
      <c r="C192" s="17" t="s">
        <v>64</v>
      </c>
      <c r="D192" s="16">
        <f>VLOOKUP(A192,lista!$B$2:$C$13,2,0)</f>
        <v>5</v>
      </c>
    </row>
    <row r="193" spans="1:4" ht="15.75" x14ac:dyDescent="0.25">
      <c r="A193" s="19" t="s">
        <v>9</v>
      </c>
      <c r="B193" s="17" t="s">
        <v>63</v>
      </c>
      <c r="C193" s="17" t="s">
        <v>65</v>
      </c>
      <c r="D193" s="16">
        <f>VLOOKUP(A193,lista!$B$2:$C$13,2,0)</f>
        <v>5</v>
      </c>
    </row>
    <row r="194" spans="1:4" ht="15.75" x14ac:dyDescent="0.25">
      <c r="A194" s="19" t="s">
        <v>10</v>
      </c>
      <c r="B194" s="17" t="s">
        <v>46</v>
      </c>
      <c r="C194" s="18" t="s">
        <v>78</v>
      </c>
      <c r="D194" s="16">
        <f>VLOOKUP(A194,lista!$B$2:$C$13,2,0)</f>
        <v>12</v>
      </c>
    </row>
    <row r="195" spans="1:4" ht="15.75" x14ac:dyDescent="0.25">
      <c r="A195" s="19" t="s">
        <v>10</v>
      </c>
      <c r="B195" s="17" t="s">
        <v>46</v>
      </c>
      <c r="C195" s="18" t="s">
        <v>106</v>
      </c>
      <c r="D195" s="16">
        <f>VLOOKUP(A195,lista!$B$2:$C$13,2,0)</f>
        <v>12</v>
      </c>
    </row>
    <row r="196" spans="1:4" ht="15.75" x14ac:dyDescent="0.25">
      <c r="A196" s="19" t="s">
        <v>10</v>
      </c>
      <c r="B196" s="17" t="s">
        <v>46</v>
      </c>
      <c r="C196" s="18" t="s">
        <v>107</v>
      </c>
      <c r="D196" s="16">
        <f>VLOOKUP(A196,lista!$B$2:$C$13,2,0)</f>
        <v>12</v>
      </c>
    </row>
    <row r="197" spans="1:4" ht="15.75" x14ac:dyDescent="0.25">
      <c r="A197" s="19" t="s">
        <v>10</v>
      </c>
      <c r="B197" s="17" t="s">
        <v>46</v>
      </c>
      <c r="C197" s="18" t="s">
        <v>108</v>
      </c>
      <c r="D197" s="16">
        <f>VLOOKUP(A197,lista!$B$2:$C$13,2,0)</f>
        <v>12</v>
      </c>
    </row>
    <row r="198" spans="1:4" ht="15.75" x14ac:dyDescent="0.25">
      <c r="A198" s="19" t="s">
        <v>10</v>
      </c>
      <c r="B198" s="17" t="s">
        <v>46</v>
      </c>
      <c r="C198" s="18" t="s">
        <v>151</v>
      </c>
      <c r="D198" s="16">
        <f>VLOOKUP(A198,lista!$B$2:$C$13,2,0)</f>
        <v>12</v>
      </c>
    </row>
    <row r="199" spans="1:4" ht="15.75" x14ac:dyDescent="0.25">
      <c r="A199" s="19" t="s">
        <v>10</v>
      </c>
      <c r="B199" s="17" t="s">
        <v>51</v>
      </c>
      <c r="C199" s="18" t="s">
        <v>110</v>
      </c>
      <c r="D199" s="16">
        <f>VLOOKUP(A199,lista!$B$2:$C$13,2,0)</f>
        <v>12</v>
      </c>
    </row>
    <row r="200" spans="1:4" ht="15.75" x14ac:dyDescent="0.25">
      <c r="A200" s="19" t="s">
        <v>10</v>
      </c>
      <c r="B200" s="17" t="s">
        <v>51</v>
      </c>
      <c r="C200" s="18" t="s">
        <v>111</v>
      </c>
      <c r="D200" s="16">
        <f>VLOOKUP(A200,lista!$B$2:$C$13,2,0)</f>
        <v>12</v>
      </c>
    </row>
    <row r="201" spans="1:4" ht="15.75" x14ac:dyDescent="0.25">
      <c r="A201" s="19" t="s">
        <v>10</v>
      </c>
      <c r="B201" s="17" t="s">
        <v>51</v>
      </c>
      <c r="C201" s="18" t="s">
        <v>112</v>
      </c>
      <c r="D201" s="16">
        <f>VLOOKUP(A201,lista!$B$2:$C$13,2,0)</f>
        <v>12</v>
      </c>
    </row>
    <row r="202" spans="1:4" ht="15.75" x14ac:dyDescent="0.25">
      <c r="A202" s="19" t="s">
        <v>10</v>
      </c>
      <c r="B202" s="17" t="s">
        <v>51</v>
      </c>
      <c r="C202" s="18" t="s">
        <v>152</v>
      </c>
      <c r="D202" s="16">
        <f>VLOOKUP(A202,lista!$B$2:$C$13,2,0)</f>
        <v>12</v>
      </c>
    </row>
    <row r="203" spans="1:4" ht="15.75" x14ac:dyDescent="0.25">
      <c r="A203" s="19" t="s">
        <v>10</v>
      </c>
      <c r="B203" s="17" t="s">
        <v>57</v>
      </c>
      <c r="C203" s="18" t="s">
        <v>114</v>
      </c>
      <c r="D203" s="16">
        <f>VLOOKUP(A203,lista!$B$2:$C$13,2,0)</f>
        <v>12</v>
      </c>
    </row>
    <row r="204" spans="1:4" ht="15.75" x14ac:dyDescent="0.25">
      <c r="A204" s="19" t="s">
        <v>10</v>
      </c>
      <c r="B204" s="17" t="s">
        <v>57</v>
      </c>
      <c r="C204" s="18" t="s">
        <v>153</v>
      </c>
      <c r="D204" s="16">
        <f>VLOOKUP(A204,lista!$B$2:$C$13,2,0)</f>
        <v>12</v>
      </c>
    </row>
    <row r="205" spans="1:4" ht="15.75" x14ac:dyDescent="0.25">
      <c r="A205" s="19" t="s">
        <v>10</v>
      </c>
      <c r="B205" s="17" t="s">
        <v>57</v>
      </c>
      <c r="C205" s="18" t="s">
        <v>154</v>
      </c>
      <c r="D205" s="16">
        <f>VLOOKUP(A205,lista!$B$2:$C$13,2,0)</f>
        <v>12</v>
      </c>
    </row>
    <row r="206" spans="1:4" ht="15.75" x14ac:dyDescent="0.25">
      <c r="A206" s="19" t="s">
        <v>10</v>
      </c>
      <c r="B206" s="17" t="s">
        <v>57</v>
      </c>
      <c r="C206" s="18" t="s">
        <v>155</v>
      </c>
      <c r="D206" s="16">
        <f>VLOOKUP(A206,lista!$B$2:$C$13,2,0)</f>
        <v>12</v>
      </c>
    </row>
    <row r="207" spans="1:4" ht="15.75" x14ac:dyDescent="0.25">
      <c r="A207" s="19" t="s">
        <v>10</v>
      </c>
      <c r="B207" s="17" t="s">
        <v>73</v>
      </c>
      <c r="C207" s="18" t="s">
        <v>74</v>
      </c>
      <c r="D207" s="16">
        <f>VLOOKUP(A207,lista!$B$2:$C$13,2,0)</f>
        <v>12</v>
      </c>
    </row>
    <row r="208" spans="1:4" ht="15.75" x14ac:dyDescent="0.25">
      <c r="A208" s="19" t="s">
        <v>10</v>
      </c>
      <c r="B208" s="17" t="s">
        <v>73</v>
      </c>
      <c r="C208" s="18" t="s">
        <v>75</v>
      </c>
      <c r="D208" s="16">
        <f>VLOOKUP(A208,lista!$B$2:$C$13,2,0)</f>
        <v>12</v>
      </c>
    </row>
    <row r="209" spans="1:4" ht="15.75" x14ac:dyDescent="0.25">
      <c r="A209" s="19" t="s">
        <v>10</v>
      </c>
      <c r="B209" s="17" t="s">
        <v>73</v>
      </c>
      <c r="C209" s="18" t="s">
        <v>76</v>
      </c>
      <c r="D209" s="16">
        <f>VLOOKUP(A209,lista!$B$2:$C$13,2,0)</f>
        <v>12</v>
      </c>
    </row>
    <row r="210" spans="1:4" ht="15.75" x14ac:dyDescent="0.25">
      <c r="A210" s="19" t="s">
        <v>10</v>
      </c>
      <c r="B210" s="17" t="s">
        <v>73</v>
      </c>
      <c r="C210" s="18" t="s">
        <v>77</v>
      </c>
      <c r="D210" s="16">
        <f>VLOOKUP(A210,lista!$B$2:$C$13,2,0)</f>
        <v>12</v>
      </c>
    </row>
    <row r="211" spans="1:4" ht="15.75" x14ac:dyDescent="0.25">
      <c r="A211" s="19" t="s">
        <v>10</v>
      </c>
      <c r="B211" s="17" t="s">
        <v>63</v>
      </c>
      <c r="C211" s="17" t="s">
        <v>62</v>
      </c>
      <c r="D211" s="16">
        <f>VLOOKUP(A211,lista!$B$2:$C$13,2,0)</f>
        <v>12</v>
      </c>
    </row>
    <row r="212" spans="1:4" ht="15.75" x14ac:dyDescent="0.25">
      <c r="A212" s="19" t="s">
        <v>10</v>
      </c>
      <c r="B212" s="17" t="s">
        <v>63</v>
      </c>
      <c r="C212" s="17" t="s">
        <v>64</v>
      </c>
      <c r="D212" s="16">
        <f>VLOOKUP(A212,lista!$B$2:$C$13,2,0)</f>
        <v>12</v>
      </c>
    </row>
    <row r="213" spans="1:4" ht="15.75" x14ac:dyDescent="0.25">
      <c r="A213" s="19" t="s">
        <v>10</v>
      </c>
      <c r="B213" s="17" t="s">
        <v>63</v>
      </c>
      <c r="C213" s="17" t="s">
        <v>65</v>
      </c>
      <c r="D213" s="16">
        <f>VLOOKUP(A213,lista!$B$2:$C$13,2,0)</f>
        <v>12</v>
      </c>
    </row>
    <row r="214" spans="1:4" ht="15.75" x14ac:dyDescent="0.25">
      <c r="A214" s="19" t="s">
        <v>11</v>
      </c>
      <c r="B214" s="17" t="s">
        <v>46</v>
      </c>
      <c r="C214" s="18" t="s">
        <v>78</v>
      </c>
      <c r="D214" s="16">
        <f>VLOOKUP(A214,lista!$B$2:$C$13,2,0)</f>
        <v>6</v>
      </c>
    </row>
    <row r="215" spans="1:4" ht="15.75" x14ac:dyDescent="0.25">
      <c r="A215" s="19" t="s">
        <v>11</v>
      </c>
      <c r="B215" s="17" t="s">
        <v>46</v>
      </c>
      <c r="C215" s="18" t="s">
        <v>106</v>
      </c>
      <c r="D215" s="16">
        <f>VLOOKUP(A215,lista!$B$2:$C$13,2,0)</f>
        <v>6</v>
      </c>
    </row>
    <row r="216" spans="1:4" ht="15.75" x14ac:dyDescent="0.25">
      <c r="A216" s="19" t="s">
        <v>11</v>
      </c>
      <c r="B216" s="17" t="s">
        <v>46</v>
      </c>
      <c r="C216" s="18" t="s">
        <v>107</v>
      </c>
      <c r="D216" s="16">
        <f>VLOOKUP(A216,lista!$B$2:$C$13,2,0)</f>
        <v>6</v>
      </c>
    </row>
    <row r="217" spans="1:4" ht="15.75" x14ac:dyDescent="0.25">
      <c r="A217" s="19" t="s">
        <v>11</v>
      </c>
      <c r="B217" s="17" t="s">
        <v>46</v>
      </c>
      <c r="C217" s="18" t="s">
        <v>108</v>
      </c>
      <c r="D217" s="16">
        <f>VLOOKUP(A217,lista!$B$2:$C$13,2,0)</f>
        <v>6</v>
      </c>
    </row>
    <row r="218" spans="1:4" ht="15.75" x14ac:dyDescent="0.25">
      <c r="A218" s="19" t="s">
        <v>11</v>
      </c>
      <c r="B218" s="17" t="s">
        <v>46</v>
      </c>
      <c r="C218" s="18" t="s">
        <v>156</v>
      </c>
      <c r="D218" s="16">
        <f>VLOOKUP(A218,lista!$B$2:$C$13,2,0)</f>
        <v>6</v>
      </c>
    </row>
    <row r="219" spans="1:4" ht="15.75" x14ac:dyDescent="0.25">
      <c r="A219" s="19" t="s">
        <v>11</v>
      </c>
      <c r="B219" s="17" t="s">
        <v>51</v>
      </c>
      <c r="C219" s="18" t="s">
        <v>110</v>
      </c>
      <c r="D219" s="16">
        <f>VLOOKUP(A219,lista!$B$2:$C$13,2,0)</f>
        <v>6</v>
      </c>
    </row>
    <row r="220" spans="1:4" ht="15.75" x14ac:dyDescent="0.25">
      <c r="A220" s="19" t="s">
        <v>11</v>
      </c>
      <c r="B220" s="17" t="s">
        <v>51</v>
      </c>
      <c r="C220" s="18" t="s">
        <v>111</v>
      </c>
      <c r="D220" s="16">
        <f>VLOOKUP(A220,lista!$B$2:$C$13,2,0)</f>
        <v>6</v>
      </c>
    </row>
    <row r="221" spans="1:4" ht="15.75" x14ac:dyDescent="0.25">
      <c r="A221" s="19" t="s">
        <v>11</v>
      </c>
      <c r="B221" s="17" t="s">
        <v>51</v>
      </c>
      <c r="C221" s="18" t="s">
        <v>112</v>
      </c>
      <c r="D221" s="16">
        <f>VLOOKUP(A221,lista!$B$2:$C$13,2,0)</f>
        <v>6</v>
      </c>
    </row>
    <row r="222" spans="1:4" ht="15.75" x14ac:dyDescent="0.25">
      <c r="A222" s="19" t="s">
        <v>11</v>
      </c>
      <c r="B222" s="17" t="s">
        <v>51</v>
      </c>
      <c r="C222" s="18" t="s">
        <v>157</v>
      </c>
      <c r="D222" s="16">
        <f>VLOOKUP(A222,lista!$B$2:$C$13,2,0)</f>
        <v>6</v>
      </c>
    </row>
    <row r="223" spans="1:4" ht="15.75" x14ac:dyDescent="0.25">
      <c r="A223" s="19" t="s">
        <v>11</v>
      </c>
      <c r="B223" s="17" t="s">
        <v>57</v>
      </c>
      <c r="C223" s="18" t="s">
        <v>114</v>
      </c>
      <c r="D223" s="16">
        <f>VLOOKUP(A223,lista!$B$2:$C$13,2,0)</f>
        <v>6</v>
      </c>
    </row>
    <row r="224" spans="1:4" ht="15.75" x14ac:dyDescent="0.25">
      <c r="A224" s="19" t="s">
        <v>11</v>
      </c>
      <c r="B224" s="17" t="s">
        <v>57</v>
      </c>
      <c r="C224" s="18" t="s">
        <v>158</v>
      </c>
      <c r="D224" s="16">
        <f>VLOOKUP(A224,lista!$B$2:$C$13,2,0)</f>
        <v>6</v>
      </c>
    </row>
    <row r="225" spans="1:4" ht="15.75" x14ac:dyDescent="0.25">
      <c r="A225" s="19" t="s">
        <v>11</v>
      </c>
      <c r="B225" s="17" t="s">
        <v>57</v>
      </c>
      <c r="C225" s="18" t="s">
        <v>159</v>
      </c>
      <c r="D225" s="16">
        <f>VLOOKUP(A225,lista!$B$2:$C$13,2,0)</f>
        <v>6</v>
      </c>
    </row>
    <row r="226" spans="1:4" ht="15.75" x14ac:dyDescent="0.25">
      <c r="A226" s="19" t="s">
        <v>11</v>
      </c>
      <c r="B226" s="17" t="s">
        <v>57</v>
      </c>
      <c r="C226" s="18" t="s">
        <v>160</v>
      </c>
      <c r="D226" s="16">
        <f>VLOOKUP(A226,lista!$B$2:$C$13,2,0)</f>
        <v>6</v>
      </c>
    </row>
    <row r="227" spans="1:4" ht="15.75" x14ac:dyDescent="0.25">
      <c r="A227" s="19" t="s">
        <v>11</v>
      </c>
      <c r="B227" s="17" t="s">
        <v>73</v>
      </c>
      <c r="C227" s="18" t="s">
        <v>74</v>
      </c>
      <c r="D227" s="16">
        <f>VLOOKUP(A227,lista!$B$2:$C$13,2,0)</f>
        <v>6</v>
      </c>
    </row>
    <row r="228" spans="1:4" ht="15.75" x14ac:dyDescent="0.25">
      <c r="A228" s="19" t="s">
        <v>11</v>
      </c>
      <c r="B228" s="17" t="s">
        <v>73</v>
      </c>
      <c r="C228" s="18" t="s">
        <v>75</v>
      </c>
      <c r="D228" s="16">
        <f>VLOOKUP(A228,lista!$B$2:$C$13,2,0)</f>
        <v>6</v>
      </c>
    </row>
    <row r="229" spans="1:4" ht="15.75" x14ac:dyDescent="0.25">
      <c r="A229" s="19" t="s">
        <v>11</v>
      </c>
      <c r="B229" s="17" t="s">
        <v>73</v>
      </c>
      <c r="C229" s="18" t="s">
        <v>76</v>
      </c>
      <c r="D229" s="16">
        <f>VLOOKUP(A229,lista!$B$2:$C$13,2,0)</f>
        <v>6</v>
      </c>
    </row>
    <row r="230" spans="1:4" ht="15.75" x14ac:dyDescent="0.25">
      <c r="A230" s="20" t="s">
        <v>11</v>
      </c>
      <c r="B230" s="17" t="s">
        <v>73</v>
      </c>
      <c r="C230" s="18" t="s">
        <v>77</v>
      </c>
      <c r="D230" s="16">
        <f>VLOOKUP(A230,lista!$B$2:$C$13,2,0)</f>
        <v>6</v>
      </c>
    </row>
    <row r="231" spans="1:4" ht="15.75" x14ac:dyDescent="0.25">
      <c r="A231" s="20" t="s">
        <v>11</v>
      </c>
      <c r="B231" s="17" t="s">
        <v>63</v>
      </c>
      <c r="C231" s="17" t="s">
        <v>62</v>
      </c>
      <c r="D231" s="16">
        <f>VLOOKUP(A231,lista!$B$2:$C$13,2,0)</f>
        <v>6</v>
      </c>
    </row>
    <row r="232" spans="1:4" ht="15.75" x14ac:dyDescent="0.25">
      <c r="A232" s="20" t="s">
        <v>11</v>
      </c>
      <c r="B232" s="17" t="s">
        <v>63</v>
      </c>
      <c r="C232" s="17" t="s">
        <v>64</v>
      </c>
      <c r="D232" s="16">
        <f>VLOOKUP(A232,lista!$B$2:$C$13,2,0)</f>
        <v>6</v>
      </c>
    </row>
    <row r="233" spans="1:4" ht="15.75" x14ac:dyDescent="0.25">
      <c r="A233" s="20" t="s">
        <v>11</v>
      </c>
      <c r="B233" s="17" t="s">
        <v>63</v>
      </c>
      <c r="C233" s="17" t="s">
        <v>65</v>
      </c>
      <c r="D233" s="16">
        <f>VLOOKUP(A233,lista!$B$2:$C$13,2,0)</f>
        <v>6</v>
      </c>
    </row>
  </sheetData>
  <autoFilter ref="A1:D233" xr:uid="{024E7B97-303F-480E-A92A-F11B8F483FE2}"/>
  <hyperlinks>
    <hyperlink ref="C2" r:id="rId1" display="https://aulas.descomplica.com.br/pos/pos-graduacao-em-analise-de-dados-2a94b5/turma/estatistica-aplicada-a-negocios-b4022e" xr:uid="{00C33153-5E49-49D0-AC4D-CA8ED4C83DDF}"/>
    <hyperlink ref="C3" r:id="rId2" display="https://aulas.descomplica.com.br/pos/pos-graduacao-em-analise-de-dados-2a94b5/turma/computacao-e-inteligencia-artificial-efffc1" xr:uid="{DED76B29-3D1D-425F-B8BA-EE74156DFCCE}"/>
    <hyperlink ref="C4" r:id="rId3" display="https://aulas.descomplica.com.br/pos/pos-graduacao-em-analise-de-dados-2a94b5/turma/essencial-database-0ff818" xr:uid="{AA720736-21FA-4500-B4D4-AB14282E9971}"/>
    <hyperlink ref="C5" r:id="rId4" display="https://aulas.descomplica.com.br/pos/pos-graduacao-em-analise-de-dados-2a94b5/turma/big-data-analytics-37cf7b" xr:uid="{A6225012-6831-48AD-9F97-730B5BC4E1DC}"/>
    <hyperlink ref="C6" r:id="rId5" display="https://aulas.descomplica.com.br/pos/pos-graduacao-em-analise-de-dados-2a94b5/turma/python-0f27cc" xr:uid="{1BD43E8C-9FD1-417D-918C-4AFB82554A4E}"/>
    <hyperlink ref="C7" r:id="rId6" display="https://aulas.descomplica.com.br/pos/pos-graduacao-em-analise-de-dados-2a94b5/turma/coleta-e-tratamento-de-dados-e29a61" xr:uid="{C083ED30-1EF9-48B0-A05C-1BBA9B7A7950}"/>
    <hyperlink ref="C8" r:id="rId7" display="https://aulas.descomplica.com.br/pos/pos-graduacao-em-analise-de-dados-2a94b5/turma/statistics-for-data-science-fa63e9" xr:uid="{E21EDB93-8BDB-4794-A7E7-AE1D0098BEE1}"/>
    <hyperlink ref="C9" r:id="rId8" display="https://aulas.descomplica.com.br/pos/pos-graduacao-em-analise-de-dados-2a94b5/turma/statistics-library-in-python-335a05" xr:uid="{C6B6B0CE-F04D-49EE-9CF7-A69EFCDDAF37}"/>
    <hyperlink ref="C10" r:id="rId9" display="https://aulas.descomplica.com.br/pos/pos-graduacao-em-analise-de-dados-2a94b5/turma/ferramentas-para-big-data-04846c" xr:uid="{50435531-13DE-4875-B5A6-21B51C9A31F6}"/>
    <hyperlink ref="C11" r:id="rId10" display="https://aulas.descomplica.com.br/pos/pos-graduacao-em-analise-de-dados-2a94b5/turma/data-analytics-e-big-data-para-tomada-de-decisao-8af4d3" xr:uid="{1C4049AF-85ED-4F7D-B0D0-662BD042D7EC}"/>
    <hyperlink ref="C12" r:id="rId11" display="https://aulas.descomplica.com.br/pos/pos-graduacao-em-analise-de-dados-2a94b5/turma/privacy-and-data-protection-21539e" xr:uid="{C227F8A5-614F-48D3-9FE6-0372052B3BF9}"/>
    <hyperlink ref="C13" r:id="rId12" display="https://aulas.descomplica.com.br/pos/pos-graduacao-em-analise-de-dados-2a94b5/turma/data-integration-ingestion-quality-56ae35" xr:uid="{F62D09B6-A48D-4343-BFB1-64C23DC3A272}"/>
    <hyperlink ref="C14" r:id="rId13" display="https://aulas.descomplica.com.br/pos/pos-graduacao-em-analise-de-dados-2a94b5/turma/cloud-security-f4a25e" xr:uid="{B0C4D80E-5253-459A-95FE-C77111563B7C}"/>
    <hyperlink ref="C18" r:id="rId14" display="https://aulas.descomplica.com.br/pos/mba-em-big-data-e-inteligencia-competitiva-eeb8f1/turma/bem-vindo--84b01d" xr:uid="{73F330E7-F7ED-4F7B-9C31-13072DE2036C}"/>
    <hyperlink ref="C19" r:id="rId15" display="https://aulas.descomplica.com.br/pos/mba-em-big-data-e-inteligencia-competitiva-eeb8f1/turma/data-analytics-e-big-data-para-tomada-de-decisao-f456ed" xr:uid="{9BB0063F-54E6-419E-8F10-5653615F14BF}"/>
    <hyperlink ref="C20" r:id="rId16" display="https://aulas.descomplica.com.br/pos/mba-em-big-data-e-inteligencia-competitiva-eeb8f1/turma/statistics-for-data-science-8c75b8" xr:uid="{F239EAD6-94F1-49A1-AF92-651CF41CE026}"/>
    <hyperlink ref="C21" r:id="rId17" display="https://aulas.descomplica.com.br/pos/mba-em-big-data-e-inteligencia-competitiva-eeb8f1/turma/essencial-database-12b774" xr:uid="{96482932-D2CF-4119-806F-7DBF04AEB725}"/>
    <hyperlink ref="C22" r:id="rId18" display="https://aulas.descomplica.com.br/pos/mba-em-big-data-e-inteligencia-competitiva-eeb8f1/turma/arquitetura-e-modelagem-de-dados-81b386" xr:uid="{95124E73-E757-4899-ACFF-4A97BB79AEEC}"/>
    <hyperlink ref="C23" r:id="rId19" display="https://aulas.descomplica.com.br/pos/mba-em-big-data-e-inteligencia-competitiva-eeb8f1/turma/python-7658e4" xr:uid="{674E2EF1-033F-4108-B0B6-FF31AF7A8D18}"/>
    <hyperlink ref="C24" r:id="rId20" display="https://aulas.descomplica.com.br/pos/mba-em-big-data-e-inteligencia-competitiva-eeb8f1/turma/linguagem-r-cfc84f" xr:uid="{C9A621B3-D852-49A3-A63F-58DAFE509F38}"/>
    <hyperlink ref="C25" r:id="rId21" display="https://aulas.descomplica.com.br/pos/mba-em-big-data-e-inteligencia-competitiva-eeb8f1/turma/machine-learning-f3d335" xr:uid="{2C0AB771-CAFD-4D31-83E9-D30EC31BF252}"/>
    <hyperlink ref="C26" r:id="rId22" display="https://aulas.descomplica.com.br/pos/mba-em-big-data-e-inteligencia-competitiva-eeb8f1/turma/deep-learning-0b9cb8" xr:uid="{5A8315A7-2803-469D-989C-34BC553E06ED}"/>
    <hyperlink ref="C27" r:id="rId23" display="https://aulas.descomplica.com.br/pos/mba-em-big-data-e-inteligencia-competitiva-eeb8f1/turma/visualizacao-de-dados" xr:uid="{9CEF889B-1B90-48B4-AA4F-B23F11FB7602}"/>
    <hyperlink ref="C28" r:id="rId24" display="https://aulas.descomplica.com.br/pos/mba-em-big-data-e-inteligencia-competitiva-eeb8f1/turma/ferramentas-para-big-data" xr:uid="{7DAC81F7-C87A-4430-9726-D6816AF8362C}"/>
    <hyperlink ref="C29" r:id="rId25" display="https://aulas.descomplica.com.br/pos/mba-em-big-data-e-inteligencia-competitiva-eeb8f1/turma/data-integration-ingestion-quality-0d8d49" xr:uid="{853B2360-B5BF-4E17-9C2B-2A09C5FBBFF5}"/>
    <hyperlink ref="C30" r:id="rId26" display="https://aulas.descomplica.com.br/pos/mba-em-big-data-e-inteligencia-competitiva-eeb8f1/turma/big-data-analytics-83864f" xr:uid="{BBF15111-A645-4F76-9B8A-42BDECBF0A0F}"/>
    <hyperlink ref="C31" r:id="rId27" display="https://aulas.descomplica.com.br/pos/mba-em-big-data-e-inteligencia-competitiva-eeb8f1/turma/topicos-especiais-de-tecnologia-2505a3" xr:uid="{4F0F92EE-4812-43B0-935B-E77B461FCC4D}"/>
    <hyperlink ref="C32" r:id="rId28" display="https://aulas.descomplica.com.br/pos/mba-em-big-data-e-inteligencia-competitiva-eeb8f1/turma/topicos-especiais-de-diversidade-a73043" xr:uid="{6FF30DB7-7FAD-4C0E-8D8D-5AFEF39863A7}"/>
    <hyperlink ref="C33" r:id="rId29" display="https://aulas.descomplica.com.br/pos/mba-em-big-data-e-inteligencia-competitiva-eeb8f1/turma/topicos-especiais-de-carreira-f480e8" xr:uid="{D3CB9F97-2EED-4667-BA9C-1361DB7B1CF6}"/>
    <hyperlink ref="C34" r:id="rId30" display="https://aulas.descomplica.com.br/pos/mba-em-big-data-e-inteligencia-competitiva-eeb8f1/turma/atualidades-pos-graduacao-38ae07" xr:uid="{94F7BC0E-6BD2-4758-B14B-FFABFBEB11B6}"/>
    <hyperlink ref="C35" r:id="rId31" display="https://aulas.descomplica.com.br/pos/mba-em-big-data-e-inteligencia-competitiva-eeb8f1/turma/gestao-do-tempo-d09124" xr:uid="{30CE94A5-B5D5-4FD9-9236-0A3038AED5B8}"/>
    <hyperlink ref="C39" r:id="rId32" display="https://aulas.descomplica.com.br/pos/mba-em-web-3-0/turma/boas-vindas--65e9d8" xr:uid="{0A2B2DBC-9885-4B60-99A8-E2B97AC904BC}"/>
    <hyperlink ref="C40" r:id="rId33" display="https://aulas.descomplica.com.br/pos/mba-em-web-3-0/turma/geral-web-3-0" xr:uid="{A70B5083-637F-46C6-B70A-908C43B54C3B}"/>
    <hyperlink ref="C41" r:id="rId34" display="https://aulas.descomplica.com.br/pos/mba-em-web-3-0/turma/panorama-economico-6b3a06" xr:uid="{37FEF9E7-BF13-4B5F-82C2-4A4A88C2C4C8}"/>
    <hyperlink ref="C42" r:id="rId35" display="https://aulas.descomplica.com.br/pos/mba-em-web-3-0/turma/mercado-financeiro" xr:uid="{504D4281-492E-4616-BAC1-7443D1B7276A}"/>
    <hyperlink ref="C43" r:id="rId36" display="https://aulas.descomplica.com.br/pos/mba-em-web-3-0/turma/criptomoedas" xr:uid="{3CED9105-E601-4993-A0EA-72412D40419A}"/>
    <hyperlink ref="C44" r:id="rId37" display="https://aulas.descomplica.com.br/pos/mba-em-web-3-0/turma/nft-conceitos-e-criacao" xr:uid="{E8484AEC-1260-47E1-874E-648DF013D764}"/>
    <hyperlink ref="C45" r:id="rId38" display="https://aulas.descomplica.com.br/pos/mba-em-web-3-0/turma/practitioner-front-end-f2c5e8" xr:uid="{5A27626B-399C-45F3-814B-E96CF8BD7FC8}"/>
    <hyperlink ref="C46" r:id="rId39" display="https://aulas.descomplica.com.br/pos/mba-em-web-3-0/turma/intermediary-front-end-add40f" xr:uid="{26750A8A-61AD-43C4-9F30-701969DC8E9C}"/>
    <hyperlink ref="C47" r:id="rId40" display="https://aulas.descomplica.com.br/pos/mba-em-web-3-0/turma/advanced-front-end-4eeb1c" xr:uid="{8CEC0BAB-83E8-48E5-81A4-341614404D8D}"/>
    <hyperlink ref="C48" r:id="rId41" display="https://aulas.descomplica.com.br/pos/mba-em-web-3-0/turma/python-d6256a" xr:uid="{30850A02-4E25-470E-A92D-27C663F41120}"/>
    <hyperlink ref="C49" r:id="rId42" display="https://aulas.descomplica.com.br/pos/mba-em-web-3-0/turma/dataviz-f49495" xr:uid="{A5C09A70-96B2-4A05-928D-841FDB46DE17}"/>
    <hyperlink ref="C50" r:id="rId43" display="https://aulas.descomplica.com.br/pos/mba-em-web-3-0/turma/statistics-for-data-science-4da258" xr:uid="{0477EF73-8046-499A-8B13-61F9A3A74F3B}"/>
    <hyperlink ref="C51" r:id="rId44" display="https://aulas.descomplica.com.br/pos/mba-em-web-3-0/turma/blockchain-arquitetura-desenvolvimento-e-aplicacoes-em-web-3-0-5b1367" xr:uid="{66FFB052-15D9-42CC-A483-EBC74AC93B82}"/>
    <hyperlink ref="C52" r:id="rId45" display="https://aulas.descomplica.com.br/pos/mba-em-web-3-0/turma/topicos-especiais-de-tecnologia-ff97f1" xr:uid="{234BC450-C970-4DD0-8C84-21E9810C7EE0}"/>
    <hyperlink ref="C53" r:id="rId46" display="https://aulas.descomplica.com.br/pos/mba-em-web-3-0/turma/topicos-especiais-de-diversidade-93d77c" xr:uid="{48B11C86-31D4-4A25-937F-215473F46D21}"/>
    <hyperlink ref="C54" r:id="rId47" display="https://aulas.descomplica.com.br/pos/mba-em-web-3-0/turma/topicos-especiais-de-carreira-7e1d40" xr:uid="{D56E24B6-23E8-415A-B8A9-DD64557949F4}"/>
    <hyperlink ref="C55" r:id="rId48" display="https://aulas.descomplica.com.br/pos/mba-em-web-3-0/turma/atualidades-pos-graduacao-376e0a" xr:uid="{A3100A71-E14E-448F-82D5-79B86B11A149}"/>
    <hyperlink ref="C56" r:id="rId49" display="https://aulas.descomplica.com.br/pos/mba-em-web-3-0/turma/gestao-do-tempo-cf425e" xr:uid="{3DD18D0A-33D3-462D-87CA-3BC794337549}"/>
    <hyperlink ref="C60" r:id="rId50" display="https://aulas.descomplica.com.br/pos/mba-em-seguranca-da-informacao-54164c/turma/boas-vindas--ae208f" xr:uid="{59FA9477-2E25-45FC-BF0C-7791EAA6DD90}"/>
    <hyperlink ref="C61" r:id="rId51" display="https://aulas.descomplica.com.br/pos/mba-em-seguranca-da-informacao-54164c/turma/cybersecurity-essentials-3e2ae0" xr:uid="{7DEB7F26-975C-462A-8919-8833F90CCCCA}"/>
    <hyperlink ref="C62" r:id="rId52" display="https://aulas.descomplica.com.br/pos/mba-em-seguranca-da-informacao-54164c/turma/networking-essentials-461344" xr:uid="{AA41DBD2-6C0B-469D-8F6B-D18A380AF5A5}"/>
    <hyperlink ref="C63" r:id="rId53" display="https://aulas.descomplica.com.br/pos/mba-em-seguranca-da-informacao-54164c/turma/endpoint-security" xr:uid="{3D24DB0B-E1FF-42AB-80BC-45B28F15A616}"/>
    <hyperlink ref="C64" r:id="rId54" display="https://aulas.descomplica.com.br/pos/mba-em-seguranca-da-informacao-54164c/turma/network-defense-0a3025" xr:uid="{914B12B9-08ED-40B8-A03F-CDAE3F1575B0}"/>
    <hyperlink ref="C65" r:id="rId55" display="https://aulas.descomplica.com.br/pos/mba-em-seguranca-da-informacao-54164c/turma/cyber-threat-management" xr:uid="{6CBB8780-7FE0-46A2-8AEF-1C2C7411997D}"/>
    <hyperlink ref="C66" r:id="rId56" display="https://aulas.descomplica.com.br/pos/mba-em-seguranca-da-informacao-54164c/turma/cyberops-b83f45" xr:uid="{6B9322C8-2A82-415E-B40C-6A7351C2D8D1}"/>
    <hyperlink ref="C67" r:id="rId57" display="https://aulas.descomplica.com.br/pos/mba-em-seguranca-da-informacao-54164c/turma/network-security-464767" xr:uid="{73136A85-DEAB-420E-8862-218FD256ACCC}"/>
    <hyperlink ref="C68" r:id="rId58" display="https://aulas.descomplica.com.br/pos/mba-em-seguranca-da-informacao-54164c/turma/cloud-security-18123d" xr:uid="{3BA0E398-02F7-4373-BCF2-189CEED99E9B}"/>
    <hyperlink ref="C69" r:id="rId59" display="https://aulas.descomplica.com.br/pos/mba-em-seguranca-da-informacao-54164c/turma/iot-security" xr:uid="{54464720-95AA-4482-B5B0-683432B18308}"/>
    <hyperlink ref="C70" r:id="rId60" display="https://aulas.descomplica.com.br/pos/mba-em-seguranca-da-informacao-54164c/turma/computer-security-incident-response-teams" xr:uid="{0D291804-3F31-4179-B34C-8F82CD58FFFA}"/>
    <hyperlink ref="C71" r:id="rId61" display="https://aulas.descomplica.com.br/pos/mba-em-seguranca-da-informacao-54164c/turma/privacy-and-data-protection" xr:uid="{4C7CE8C3-4D73-4FD2-8377-0868BA2F0C21}"/>
    <hyperlink ref="C72" r:id="rId62" display="https://aulas.descomplica.com.br/pos/mba-em-seguranca-da-informacao-54164c/turma/data-mapping-and-privacy-governance-f44072" xr:uid="{77BEE582-8ACB-4BBD-81DC-34D200D8910C}"/>
    <hyperlink ref="C73" r:id="rId63" display="https://aulas.descomplica.com.br/pos/mba-em-seguranca-da-informacao-54164c/turma/topicos-especiais-de-tecnologia-6700d0" xr:uid="{FB9F1AAB-2527-49E0-B06C-9A907FA7AB01}"/>
    <hyperlink ref="C74" r:id="rId64" display="https://aulas.descomplica.com.br/pos/mba-em-seguranca-da-informacao-54164c/turma/topicos-especiais-de-diversidade-f3d184" xr:uid="{42A5E19A-4D03-42D4-A055-0CE4CBF5BCC4}"/>
    <hyperlink ref="C75" r:id="rId65" display="https://aulas.descomplica.com.br/pos/mba-em-seguranca-da-informacao-54164c/turma/topicos-especiais-de-carreira-52fe14" xr:uid="{99C1FFAA-3819-466B-8B9C-6A3603ED2C8C}"/>
    <hyperlink ref="C76" r:id="rId66" display="https://aulas.descomplica.com.br/pos/mba-em-seguranca-da-informacao-54164c/turma/atualidades-pos-graduacao-0fc7cb" xr:uid="{AE416DE4-CE3E-4749-8730-0F6778669B45}"/>
    <hyperlink ref="C77" r:id="rId67" display="https://aulas.descomplica.com.br/pos/mba-em-seguranca-da-informacao-54164c/turma/gestao-do-tempo-18584a" xr:uid="{761A316D-C2A9-425C-9608-841B65F3859D}"/>
    <hyperlink ref="C81" r:id="rId68" display="https://aulas.descomplica.com.br/pos/pos-graduacao-em-data-science/turma/boas-vindas--d496a3" xr:uid="{0D65BD99-B88F-4FB0-9CA6-59E60F7F9AFB}"/>
    <hyperlink ref="C82" r:id="rId69" display="https://aulas.descomplica.com.br/pos/pos-graduacao-em-data-science/turma/python-8492e1" xr:uid="{1074A090-C7BB-445B-812C-810D7D977B7F}"/>
    <hyperlink ref="C83" r:id="rId70" display="https://aulas.descomplica.com.br/pos/pos-graduacao-em-data-science/turma/statistics-for-data-science-4cc58c" xr:uid="{364CA418-6D5E-4EC5-9B71-AC997B8667F8}"/>
    <hyperlink ref="C84" r:id="rId71" display="https://aulas.descomplica.com.br/pos/pos-graduacao-em-data-science/turma/learning-programming-39b7a7" xr:uid="{7C3CBCAA-5B9A-4345-B5E4-6BE98AC410E0}"/>
    <hyperlink ref="C85" r:id="rId72" display="https://aulas.descomplica.com.br/pos/pos-graduacao-em-data-science/turma/essencial-database-17a09c" xr:uid="{4B3ACD70-D21A-41BA-B24E-7EF05F9F27AF}"/>
    <hyperlink ref="C86" r:id="rId73" display="https://aulas.descomplica.com.br/pos/pos-graduacao-em-data-science/turma/coleta-e-tratamento-de-dados" xr:uid="{052567AC-6063-4210-AFCD-7AA2233D2B70}"/>
    <hyperlink ref="C87" r:id="rId74" display="https://aulas.descomplica.com.br/pos/pos-graduacao-em-data-science/turma/statistics-library-in-python-122673" xr:uid="{7DE3DF33-2952-4B75-80FE-4E3C41A3231E}"/>
    <hyperlink ref="C88" r:id="rId75" display="https://aulas.descomplica.com.br/pos/pos-graduacao-em-data-science/turma/machine-learning" xr:uid="{8E1EB8F9-A174-4B3C-BC9C-FDED3E518D4C}"/>
    <hyperlink ref="C89" r:id="rId76" display="https://aulas.descomplica.com.br/pos/pos-graduacao-em-data-science/turma/clusterizacao" xr:uid="{D359627F-4342-47F9-94F3-F2B78CF3FD8A}"/>
    <hyperlink ref="C90" r:id="rId77" display="https://aulas.descomplica.com.br/pos/pos-graduacao-em-data-science/turma/regressao-e-predicao" xr:uid="{4AC81E89-732D-4A68-8616-34955C29DD71}"/>
    <hyperlink ref="C91" r:id="rId78" display="https://aulas.descomplica.com.br/pos/pos-graduacao-em-data-science/turma/deep-learning" xr:uid="{3C10CB4D-966C-433B-B6F7-93AE633ED56C}"/>
    <hyperlink ref="C92" r:id="rId79" display="https://aulas.descomplica.com.br/pos/pos-graduacao-em-data-science/turma/network-science" xr:uid="{361788A0-E63C-4B9C-9A61-2855D3C591A0}"/>
    <hyperlink ref="C93" r:id="rId80" display="https://aulas.descomplica.com.br/pos/pos-graduacao-em-data-science/turma/perceptron-e-adaline-cec6c0" xr:uid="{3AF223BF-C65C-4DE1-9999-CE78E3CBE43A}"/>
    <hyperlink ref="C94" r:id="rId81" display="https://aulas.descomplica.com.br/pos/pos-graduacao-em-data-science/turma/topicos-especiais-de-tecnologia-1445e9" xr:uid="{A04B3624-2E40-4C28-AF86-F393F30E9C2A}"/>
    <hyperlink ref="C95" r:id="rId82" display="https://aulas.descomplica.com.br/pos/pos-graduacao-em-data-science/turma/topicos-especiais-de-carreira-c77f98" xr:uid="{6BDCB7B9-432E-490C-9916-54B5D229E954}"/>
    <hyperlink ref="C96" r:id="rId83" display="https://aulas.descomplica.com.br/pos/pos-graduacao-em-data-science/turma/topicos-especiais-de-diversidade-4389d0" xr:uid="{F81705B3-A12E-4710-B15F-89D13658C504}"/>
    <hyperlink ref="C97" r:id="rId84" display="https://aulas.descomplica.com.br/pos/pos-graduacao-em-data-science/turma/atualidades-pos-graduacao-78c8a9" xr:uid="{7EB63ECB-F9C8-466C-9544-9290BC4BED18}"/>
    <hyperlink ref="C98" r:id="rId85" display="https://aulas.descomplica.com.br/pos/pos-graduacao-em-data-science/turma/gestao-do-tempo-b27442" xr:uid="{AA235632-226E-4AD1-8C62-B2AB252C7128}"/>
    <hyperlink ref="C102" r:id="rId86" display="https://aulas.descomplica.com.br/pos/pos-graduacao-em-projetos-de-cloud-computing-f04b1d/turma/gestao-do-tempo-47077c" xr:uid="{37079DD9-ABE3-41A3-B9A2-00A22D14C695}"/>
    <hyperlink ref="C103" r:id="rId87" display="https://aulas.descomplica.com.br/pos/pos-graduacao-em-projetos-de-cloud-computing-f04b1d/turma/projeto-de-vida-d2a8a1" xr:uid="{7DBEFBC6-8598-438B-91AC-132A300DA75F}"/>
    <hyperlink ref="C104" r:id="rId88" display="https://aulas.descomplica.com.br/pos/pos-graduacao-em-projetos-de-cloud-computing-f04b1d/turma/coaching-e-planejamento-de-carreira-67468c" xr:uid="{2E9F4531-DA3E-4085-B103-378B099B92F0}"/>
    <hyperlink ref="C105" r:id="rId89" display="https://aulas.descomplica.com.br/pos/pos-graduacao-em-projetos-de-cloud-computing-f04b1d/turma/governanca-e-qualidade-de-dados-36b0ec" xr:uid="{532258B0-49CF-4649-942F-92FA6CA432A3}"/>
    <hyperlink ref="C106" r:id="rId90" display="https://aulas.descomplica.com.br/pos/pos-graduacao-em-projetos-de-cloud-computing-f04b1d/turma/da-iniciacao-ao-orcamento-do-projeto-5c4648" xr:uid="{FDB5E60B-CFC5-48F4-8DFC-50EF2C2C3E08}"/>
    <hyperlink ref="C107" r:id="rId91" display="https://aulas.descomplica.com.br/pos/pos-graduacao-em-projetos-de-cloud-computing-f04b1d/turma/narrativas-roteiro-e-storyboard-5f53be" xr:uid="{656E3278-1E1F-40CD-B8C5-A3C710EEB7EF}"/>
    <hyperlink ref="C108" r:id="rId92" display="https://aulas.descomplica.com.br/pos/pos-graduacao-em-projetos-de-cloud-computing-f04b1d/turma/seguranca-e-privacidade-c5fe33" xr:uid="{E39034FF-C5EE-4580-93B3-67C3010D4FB7}"/>
    <hyperlink ref="C109" r:id="rId93" display="https://aulas.descomplica.com.br/pos/pos-graduacao-em-projetos-de-cloud-computing-f04b1d/turma/redes-de-comunicacao-protocolos-e-roteamento-dc6bd6" xr:uid="{36C5FC04-70C5-4F3C-BC0A-5DC37C4879DB}"/>
    <hyperlink ref="C110" r:id="rId94" display="https://aulas.descomplica.com.br/pos/pos-graduacao-em-projetos-de-cloud-computing-f04b1d/turma/qualidade-recursos-comunicacao-e-riscos-de-projetos-bcf065" xr:uid="{18EF581C-759D-4C7D-B32C-57FE111D0E68}"/>
    <hyperlink ref="C111" r:id="rId95" display="https://aulas.descomplica.com.br/pos/pos-graduacao-em-projetos-de-cloud-computing-f04b1d/turma/computacao-em-nuvem-1534f3" xr:uid="{745ACE39-9A3F-4E37-A4D4-0BDB4307BB35}"/>
    <hyperlink ref="C112" r:id="rId96" display="https://aulas.descomplica.com.br/pos/pos-graduacao-em-projetos-de-cloud-computing-f04b1d/turma/execucao-controle-e-encerramento-de-projetos-ageis-8b1e80" xr:uid="{D43AB9DD-0A92-433B-95E6-EE7DDAEA0D05}"/>
    <hyperlink ref="C113" r:id="rId97" display="https://aulas.descomplica.com.br/pos/pos-graduacao-em-projetos-de-cloud-computing-f04b1d/turma/plataformas-de-software-na-nuvem-para-internet-das-coisas-06166b" xr:uid="{D52F7144-754A-4ED4-94E1-BBDE30EA1117}"/>
    <hyperlink ref="C114" r:id="rId98" display="https://aulas.descomplica.com.br/pos/pos-graduacao-em-projetos-de-cloud-computing-f04b1d/turma/seguranca-em-infraestrutura-de-redes-e-computacao-movel-29f0a1" xr:uid="{472C8D7F-6D68-4F18-B50E-DBCB45CE7499}"/>
    <hyperlink ref="C115" r:id="rId99" display="https://aulas.descomplica.com.br/pos/pos-graduacao-em-projetos-de-cloud-computing-f04b1d/turma/topicos-especiais-de-tecnologia-fbb45f" xr:uid="{A9FB6987-F3B6-4CCA-AF39-5C5899F72163}"/>
    <hyperlink ref="C116" r:id="rId100" display="https://aulas.descomplica.com.br/pos/pos-graduacao-em-projetos-de-cloud-computing-f04b1d/turma/topicos-especiais-de-diversidade-fbeadb" xr:uid="{5BE6B668-B1A8-48D3-BFB7-454F039C746E}"/>
    <hyperlink ref="C117" r:id="rId101" display="https://aulas.descomplica.com.br/pos/pos-graduacao-em-projetos-de-cloud-computing-f04b1d/turma/topicos-especiais-de-carreira-079fcb" xr:uid="{5F6E6F37-AD87-4292-A091-7CC5B8216B14}"/>
    <hyperlink ref="C118" r:id="rId102" display="https://aulas.descomplica.com.br/pos/pos-graduacao-em-projetos-de-cloud-computing-f04b1d/turma/atualidades-pos-graduacao-cff906" xr:uid="{1DF976CE-8D9E-4638-8130-68FF95A02E5A}"/>
    <hyperlink ref="C122" r:id="rId103" display="https://aulas.descomplica.com.br/pos/pos-graduacao-em-projetos-de-aplicativos-moveis-multiplataforma-374411/turma/gestao-do-tempo-7adbe3" xr:uid="{B6884D18-2E8A-4F46-A023-0DFAE0E65FEC}"/>
    <hyperlink ref="C123" r:id="rId104" display="https://aulas.descomplica.com.br/pos/pos-graduacao-em-projetos-de-aplicativos-moveis-multiplataforma-374411/turma/analise-de-dados-e-bi-para-tomada-de-decisao-1efa92" xr:uid="{1A81AE62-556C-4507-B244-90386E0C6934}"/>
    <hyperlink ref="C124" r:id="rId105" display="https://aulas.descomplica.com.br/pos/pos-graduacao-em-projetos-de-aplicativos-moveis-multiplataforma-374411/turma/gestao-agil-de-projetos-7e51a2" xr:uid="{22C866E2-47E3-4913-A4C4-23579285F8A7}"/>
    <hyperlink ref="C125" r:id="rId106" display="https://aulas.descomplica.com.br/pos/pos-graduacao-em-projetos-de-aplicativos-moveis-multiplataforma-374411/turma/fundamentos-da-gestao-de-projetos-33486e" xr:uid="{E2F8DD06-5026-42C5-9494-A4038DB9EB22}"/>
    <hyperlink ref="C126" r:id="rId107" display="https://aulas.descomplica.com.br/pos/pos-graduacao-em-projetos-de-aplicativos-moveis-multiplataforma-374411/turma/governanca-de-dados-565790" xr:uid="{9BA446AE-1B87-4666-9EC0-FC3400A88A7F}"/>
    <hyperlink ref="C127" r:id="rId108" display="https://aulas.descomplica.com.br/pos/pos-graduacao-em-projetos-de-aplicativos-moveis-multiplataforma-374411/turma/cybersecurity-essentials-437975" xr:uid="{52025B0E-DE41-4D52-B9FE-4A43DC4CA95C}"/>
    <hyperlink ref="C128" r:id="rId109" display="https://aulas.descomplica.com.br/pos/pos-graduacao-em-projetos-de-aplicativos-moveis-multiplataforma-374411/turma/networking-essentials-2d34f4" xr:uid="{1796AB30-1338-403E-B5FD-EE0D527F249C}"/>
    <hyperlink ref="C129" r:id="rId110" display="https://aulas.descomplica.com.br/pos/pos-graduacao-em-projetos-de-aplicativos-moveis-multiplataforma-374411/turma/computacao-em-nuvem-1aa3b8" xr:uid="{D01A6ABA-2E79-4D93-9A4D-DE15032703CE}"/>
    <hyperlink ref="C130" r:id="rId111" display="https://aulas.descomplica.com.br/pos/pos-graduacao-em-projetos-de-aplicativos-moveis-multiplataforma-374411/turma/mercado-de-aplicacoes-moveis-6f441c" xr:uid="{FBD343B8-5B3D-410B-8F6B-0C34F8DEFFF6}"/>
    <hyperlink ref="C131" r:id="rId112" display="https://aulas.descomplica.com.br/pos/pos-graduacao-em-projetos-de-aplicativos-moveis-multiplataforma-374411/turma/desenvolvimento-em-plataformas-hibridas-flutter-fd54cb" xr:uid="{08AE82A2-1CE2-45A9-83E1-B8384C1CC93E}"/>
    <hyperlink ref="C132" r:id="rId113" display="https://aulas.descomplica.com.br/pos/pos-graduacao-em-projetos-de-aplicativos-moveis-multiplataforma-374411/turma/desenvolvimento-em-plataformas-hibridas-react-native-a359be" xr:uid="{CE71BC4F-C93B-4DA2-9B62-A729644BED5A}"/>
    <hyperlink ref="C133" r:id="rId114" display="https://aulas.descomplica.com.br/pos/pos-graduacao-em-projetos-de-aplicativos-moveis-multiplataforma-374411/turma/practitioner-front-end-3ebb29" xr:uid="{F74F95E2-C27C-4EAC-9363-9D91E3B54360}"/>
    <hyperlink ref="C134" r:id="rId115" display="https://aulas.descomplica.com.br/pos/pos-graduacao-em-projetos-de-aplicativos-moveis-multiplataforma-374411/turma/privacy-and-data-protection-393e3f" xr:uid="{99ABC2B5-0FB4-46BC-AF06-3762E66D2792}"/>
    <hyperlink ref="C135" r:id="rId116" display="https://aulas.descomplica.com.br/pos/pos-graduacao-em-projetos-de-aplicativos-moveis-multiplataforma-374411/turma/topicos-especiais-de-tecnologia-ccfde6" xr:uid="{1087775A-99A7-468E-96F8-1C11EB6AE001}"/>
    <hyperlink ref="C136" r:id="rId117" display="https://aulas.descomplica.com.br/pos/pos-graduacao-em-projetos-de-aplicativos-moveis-multiplataforma-374411/turma/topicos-especiais-de-diversidade-0c2587" xr:uid="{F382C199-A498-45AD-A908-50572BAEB68A}"/>
    <hyperlink ref="C137" r:id="rId118" display="https://aulas.descomplica.com.br/pos/pos-graduacao-em-projetos-de-aplicativos-moveis-multiplataforma-374411/turma/topicos-especiais-de-carreira-2fd17c" xr:uid="{05DC34FC-75C0-44C3-977D-64AE5603204A}"/>
    <hyperlink ref="C138" r:id="rId119" display="https://aulas.descomplica.com.br/pos/pos-graduacao-em-projetos-de-aplicativos-moveis-multiplataforma-374411/turma/atualidades-pos-graduacao-ce827c" xr:uid="{39EF2FAA-7854-4F68-A519-7578CB84ED04}"/>
    <hyperlink ref="C142" r:id="rId120" display="https://aulas.descomplica.com.br/pos/pos-graduacao-em-desenvolvimento-full-stack/turma/boas-vindas--6163cc" xr:uid="{6ED12829-BF8F-44E3-A609-E813C26A99F0}"/>
    <hyperlink ref="C143" r:id="rId121" display="https://aulas.descomplica.com.br/pos/pos-graduacao-em-desenvolvimento-full-stack/turma/logica-de-programacao-com-java-5942d0" xr:uid="{E0291CB5-DDD9-43CF-95ED-CEB20F058EEC}"/>
    <hyperlink ref="C144" r:id="rId122" display="https://aulas.descomplica.com.br/pos/pos-graduacao-em-desenvolvimento-full-stack/turma/interface-de-software-009490" xr:uid="{E96A3DB5-B93E-466E-B8E0-6E1D6F17E273}"/>
    <hyperlink ref="C145" r:id="rId123" display="https://aulas.descomplica.com.br/pos/pos-graduacao-em-desenvolvimento-full-stack/turma/practitioner-front-end-211376" xr:uid="{DB397328-5268-4975-B22F-06B2501184DB}"/>
    <hyperlink ref="C146" r:id="rId124" display="https://aulas.descomplica.com.br/pos/pos-graduacao-em-desenvolvimento-full-stack/turma/intermediary-front-end-acedf0" xr:uid="{1D38419F-DB78-4C48-85C8-969A8CDA7BAF}"/>
    <hyperlink ref="C147" r:id="rId125" display="https://aulas.descomplica.com.br/pos/pos-graduacao-em-desenvolvimento-full-stack/turma/advanced-front-end-c9ef11" xr:uid="{1882F53D-E295-4911-B858-E87CC2470EBD}"/>
    <hyperlink ref="C148" r:id="rId126" display="https://aulas.descomplica.com.br/pos/pos-graduacao-em-desenvolvimento-full-stack/turma/essencial-database-b68d23" xr:uid="{284DF3C0-4B07-4828-A2C9-DFD57E1AFE84}"/>
    <hyperlink ref="C149" r:id="rId127" display="https://aulas.descomplica.com.br/pos/pos-graduacao-em-desenvolvimento-full-stack/turma/strategies-backend-e92791" xr:uid="{089CAC89-E55B-406D-9BAC-65522D9FCEAB}"/>
    <hyperlink ref="C150" r:id="rId128" display="https://aulas.descomplica.com.br/pos/pos-graduacao-em-desenvolvimento-full-stack/turma/refactoring-764ce6" xr:uid="{15FDC57D-B1F0-4DAC-87EA-DAF95C9274A9}"/>
    <hyperlink ref="C151" r:id="rId129" display="https://aulas.descomplica.com.br/pos/pos-graduacao-em-desenvolvimento-full-stack/turma/intermediary-backend" xr:uid="{3AA00C0E-2959-4A6C-AA28-1B62378D1DE8}"/>
    <hyperlink ref="C152" r:id="rId130" display="https://aulas.descomplica.com.br/pos/pos-graduacao-em-desenvolvimento-full-stack/turma/advanced-backend" xr:uid="{D732998E-5B6A-4000-9586-1D8CB236E7A8}"/>
    <hyperlink ref="C153" r:id="rId131" display="https://aulas.descomplica.com.br/pos/pos-graduacao-em-desenvolvimento-full-stack/turma/cloud-diversity-aws-3392df" xr:uid="{6F9EE6C7-6F9F-4561-80B8-435D6C2CA4F8}"/>
    <hyperlink ref="C154" r:id="rId132" display="https://aulas.descomplica.com.br/pos/pos-graduacao-em-desenvolvimento-full-stack/turma/hero-cloud-developer" xr:uid="{56DF4A2A-7868-46B2-B6A0-3C2948674AEB}"/>
    <hyperlink ref="C155" r:id="rId133" display="https://aulas.descomplica.com.br/pos/pos-graduacao-em-desenvolvimento-full-stack/turma/topicos-especiais-de-direito-f7a47a" xr:uid="{7C8DA51B-FB6A-417F-A00F-817DEA7139A3}"/>
    <hyperlink ref="C156" r:id="rId134" display="https://aulas.descomplica.com.br/pos/pos-graduacao-em-desenvolvimento-full-stack/turma/topicos-especiais-de-diversidade-5088e1" xr:uid="{75182EC7-DF08-43F4-8A40-299B7270B5B0}"/>
    <hyperlink ref="C157" r:id="rId135" display="https://aulas.descomplica.com.br/pos/pos-graduacao-em-desenvolvimento-full-stack/turma/topicos-especiais-de-carreira-db4e35" xr:uid="{B4882652-2336-46D3-ABE7-9789562FB71B}"/>
    <hyperlink ref="C158" r:id="rId136" display="https://aulas.descomplica.com.br/pos/pos-graduacao-em-desenvolvimento-full-stack/turma/atualidades-pos-graduacao-37aac6" xr:uid="{A584E19C-641D-4C9D-86DC-DBD805181F38}"/>
    <hyperlink ref="C159" r:id="rId137" display="https://aulas.descomplica.com.br/pos/pos-graduacao-em-desenvolvimento-full-stack/turma/gestao-do-tempo-e10e7e" xr:uid="{6ADDD4D5-E7D0-49C7-8C52-B21FFA4542DD}"/>
    <hyperlink ref="C163" r:id="rId138" display="https://aulas.descomplica.com.br/pos/pos-graduacao-em-inteligencia-artificial-aplicada-a-growth-marketing/turma/analise-de-dados-e-bi-para-tomada-de-decisao-43a731" xr:uid="{00184F79-282C-41CA-A742-BDD6946C5EB0}"/>
    <hyperlink ref="C164" r:id="rId139" display="https://aulas.descomplica.com.br/pos/pos-graduacao-em-inteligencia-artificial-aplicada-a-growth-marketing/turma/a-inteligencia-artificial-como-habilidade-no-mercado-de-trabalho" xr:uid="{E6165CE8-FE24-4747-BC84-DA6FA4332D25}"/>
    <hyperlink ref="C165" r:id="rId140" display="https://aulas.descomplica.com.br/pos/pos-graduacao-em-inteligencia-artificial-aplicada-a-growth-marketing/turma/branded-content-marketing-de-conteudo-4d3930" xr:uid="{379CB847-9AE1-48D6-820D-030970F26A4D}"/>
    <hyperlink ref="C166" r:id="rId141" display="https://aulas.descomplica.com.br/pos/pos-graduacao-em-inteligencia-artificial-aplicada-a-growth-marketing/turma/martech-b78f9b" xr:uid="{7368E4D1-2039-4E37-8DB4-DA38407A71C1}"/>
    <hyperlink ref="C167" r:id="rId142" display="https://aulas.descomplica.com.br/pos/pos-graduacao-em-inteligencia-artificial-aplicada-a-growth-marketing/turma/ferramentas-de-ai-para-nao-programadores" xr:uid="{D2DA3C5C-C787-4790-80BC-12CB02DC3F39}"/>
    <hyperlink ref="C168" r:id="rId143" display="https://aulas.descomplica.com.br/pos/pos-graduacao-em-inteligencia-artificial-aplicada-a-growth-marketing/turma/content-development-178c10" xr:uid="{0F677F6D-C8C8-4950-93D2-3BEFBBC3536F}"/>
    <hyperlink ref="C169" r:id="rId144" display="https://aulas.descomplica.com.br/pos/pos-graduacao-em-inteligencia-artificial-aplicada-a-growth-marketing/turma/jornada-do-consumidor-3b85bb" xr:uid="{B619614B-7B10-4900-BA66-D1E0CAD8E692}"/>
    <hyperlink ref="C170" r:id="rId145" display="https://aulas.descomplica.com.br/pos/pos-graduacao-em-inteligencia-artificial-aplicada-a-growth-marketing/turma/growth-hacking-b466da" xr:uid="{F2549C96-534E-479D-9121-3D8820E09056}"/>
    <hyperlink ref="C171" r:id="rId146" display="https://aulas.descomplica.com.br/pos/pos-graduacao-em-inteligencia-artificial-aplicada-a-growth-marketing/turma/social-media-30e3e5" xr:uid="{74A7D3F1-5730-4148-989E-06144DD4BFB5}"/>
    <hyperlink ref="C172" r:id="rId147" display="https://aulas.descomplica.com.br/pos/pos-graduacao-em-inteligencia-artificial-aplicada-a-growth-marketing/turma/estrategia-de-marketing-cdc5b9" xr:uid="{8DDDC7F8-45D1-4C93-9DCB-E71E221244C6}"/>
    <hyperlink ref="C173" r:id="rId148" display="https://aulas.descomplica.com.br/pos/pos-graduacao-em-inteligencia-artificial-aplicada-a-growth-marketing/turma/redes-neurais-e-inteligencia-artificial-aplicada" xr:uid="{2E69C24E-A016-402C-AC8A-C5D11AF4F6E7}"/>
    <hyperlink ref="C174" r:id="rId149" display="https://aulas.descomplica.com.br/pos/pos-graduacao-em-inteligencia-artificial-aplicada-a-growth-marketing/turma/projeto-aplicado-inteligencia-artificial-aplicada-a-marketing-e-growth" xr:uid="{2D9AA5AF-32DE-411B-BE27-C57F0C2B3648}"/>
    <hyperlink ref="C178" r:id="rId150" display="https://aulas.descomplica.com.br/pos/pos-graduacao-em-engenharia-de-software-dc1e5e/turma/logica-de-programacao-com-java-b1c67a" xr:uid="{5F2364DB-9E62-41C6-8C23-39A9AFD2EE39}"/>
    <hyperlink ref="C179" r:id="rId151" display="https://aulas.descomplica.com.br/pos/pos-graduacao-em-engenharia-de-software-dc1e5e/turma/interface-de-software-f207c2" xr:uid="{8A955B9F-2295-4A16-8A41-22F567C36BC0}"/>
    <hyperlink ref="C180" r:id="rId152" display="https://aulas.descomplica.com.br/pos/pos-graduacao-em-engenharia-de-software-dc1e5e/turma/gerenciamento-avancado-de-projetos-198e97" xr:uid="{82E12820-74C7-4696-A46D-319B4DE8C73C}"/>
    <hyperlink ref="C181" r:id="rId153" display="https://aulas.descomplica.com.br/pos/pos-graduacao-em-engenharia-de-software-dc1e5e/turma/metodologias-de-desenvolvimento-de-software-3c7909" xr:uid="{753C4A0B-32DD-46BB-B75D-35A644A63E00}"/>
    <hyperlink ref="C182" r:id="rId154" display="https://aulas.descomplica.com.br/pos/pos-graduacao-em-engenharia-de-software-dc1e5e/turma/programacao-extrema-eee304" xr:uid="{5B6463EA-EC3A-4C10-8939-C9317A2239BE}"/>
    <hyperlink ref="C183" r:id="rId155" display="https://aulas.descomplica.com.br/pos/pos-graduacao-em-engenharia-de-software-dc1e5e/turma/essencial-database-b466b5" xr:uid="{91D7E7ED-5EB3-4D26-B928-2DEF824C1FC3}"/>
    <hyperlink ref="C184" r:id="rId156" display="https://aulas.descomplica.com.br/pos/pos-graduacao-em-engenharia-de-software-dc1e5e/turma/estruturas-de-dados-para-sistemas-inteligentes-479334" xr:uid="{94ACBC8B-0804-498A-96AF-291125E947B0}"/>
    <hyperlink ref="C185" r:id="rId157" display="https://aulas.descomplica.com.br/pos/pos-graduacao-em-engenharia-de-software-dc1e5e/turma/arquitetura-de-bi-e-big-data-010c71" xr:uid="{A25301D3-C832-40A8-BA7D-F0C44432FA86}"/>
    <hyperlink ref="C186" r:id="rId158" display="https://aulas.descomplica.com.br/pos/pos-graduacao-em-engenharia-de-software-dc1e5e/turma/plataformas-para-desenvolvimento-em-nuvem" xr:uid="{BB7F5965-7E6D-478A-90C1-3AFE107506C5}"/>
    <hyperlink ref="C187" r:id="rId159" display="https://aulas.descomplica.com.br/pos/pos-graduacao-em-engenharia-de-software-dc1e5e/turma/arquitetura-e-modelagem-de-dados-c511cb" xr:uid="{F5478F88-44C2-455D-8C82-DDEC528DBCB7}"/>
    <hyperlink ref="C188" r:id="rId160" display="https://aulas.descomplica.com.br/pos/pos-graduacao-em-engenharia-de-software-dc1e5e/turma/cloud-diversity-aws-3307b9" xr:uid="{540C9F13-304A-4D38-88D7-C4D213471F3C}"/>
    <hyperlink ref="C189" r:id="rId161" display="https://aulas.descomplica.com.br/pos/pos-graduacao-em-engenharia-de-software-dc1e5e/turma/analise-de-dados-e-bi-para-tomada-de-decisao-293925" xr:uid="{9B7C7B4F-61AA-42A9-A0F6-DD0E54D95B8B}"/>
    <hyperlink ref="C190" r:id="rId162" display="https://aulas.descomplica.com.br/pos/pos-graduacao-em-engenharia-de-software-dc1e5e/turma/gestao-do-tempo-63e51a" xr:uid="{C74B400A-9ED7-46BF-B79D-E306BA0A15E4}"/>
    <hyperlink ref="C194" r:id="rId163" display="https://aulas.descomplica.com.br/pos/pos-graduacao-em-tecnologias-aplicadas-a-educacao-aa4b27/turma/gestao-do-tempo-0ad014" xr:uid="{998A9917-9254-4894-A56F-4CFEE112C572}"/>
    <hyperlink ref="C195" r:id="rId164" display="https://aulas.descomplica.com.br/pos/pos-graduacao-em-tecnologias-aplicadas-a-educacao-aa4b27/turma/projeto-de-vida-bb0d03" xr:uid="{8D6E1983-A0A0-49C4-AE46-2C0994A0286E}"/>
    <hyperlink ref="C196" r:id="rId165" display="https://aulas.descomplica.com.br/pos/pos-graduacao-em-tecnologias-aplicadas-a-educacao-aa4b27/turma/coaching-e-planejamento-de-carreira-ab6ad8" xr:uid="{D48BD13C-AB27-4562-9254-25CAE4907498}"/>
    <hyperlink ref="C197" r:id="rId166" display="https://aulas.descomplica.com.br/pos/pos-graduacao-em-tecnologias-aplicadas-a-educacao-aa4b27/turma/governanca-e-qualidade-de-dados-6f5067" xr:uid="{B2976E45-EEB0-4146-A103-D2A00351DF3B}"/>
    <hyperlink ref="C198" r:id="rId167" display="https://aulas.descomplica.com.br/pos/pos-graduacao-em-tecnologias-aplicadas-a-educacao-aa4b27/turma/desenvolvimento-de-software-educacional" xr:uid="{2F281AB8-873F-4D9D-9DB5-9B3FAFD1E2F7}"/>
    <hyperlink ref="C199" r:id="rId168" display="https://aulas.descomplica.com.br/pos/pos-graduacao-em-tecnologias-aplicadas-a-educacao-aa4b27/turma/narrativas-roteiro-e-storyboard-e6402e" xr:uid="{C4C7925B-762F-4707-A580-9EB5C934FE10}"/>
    <hyperlink ref="C200" r:id="rId169" display="https://aulas.descomplica.com.br/pos/pos-graduacao-em-tecnologias-aplicadas-a-educacao-aa4b27/turma/seguranca-e-privacidade-ebc1e9" xr:uid="{3FBF9753-DEB2-4711-81B1-F04FCBC011E8}"/>
    <hyperlink ref="C201" r:id="rId170" display="https://aulas.descomplica.com.br/pos/pos-graduacao-em-tecnologias-aplicadas-a-educacao-aa4b27/turma/redes-de-comunicacao-protocolos-e-roteamento-89f5d5" xr:uid="{2E60AB2D-F199-492B-AC84-BAF9F28798C6}"/>
    <hyperlink ref="C202" r:id="rId171" display="https://aulas.descomplica.com.br/pos/pos-graduacao-em-tecnologias-aplicadas-a-educacao-aa4b27/turma/principais-softwares-educacionais" xr:uid="{2F056B50-9B8D-4CFA-A788-B9A2600AA074}"/>
    <hyperlink ref="C203" r:id="rId172" display="https://aulas.descomplica.com.br/pos/pos-graduacao-em-tecnologias-aplicadas-a-educacao-aa4b27/turma/computacao-em-nuvem-e9e37f" xr:uid="{493CEB27-81D9-4C3A-9D51-86AAA15B10BB}"/>
    <hyperlink ref="C204" r:id="rId173" display="https://aulas.descomplica.com.br/pos/pos-graduacao-em-tecnologias-aplicadas-a-educacao-aa4b27/turma/robotica-pedagogica" xr:uid="{8E16C9C9-7451-4160-BA76-D3B415E80E83}"/>
    <hyperlink ref="C205" r:id="rId174" display="https://aulas.descomplica.com.br/pos/pos-graduacao-em-tecnologias-aplicadas-a-educacao-aa4b27/turma/jogos-educacionais" xr:uid="{40460F6F-6FA8-4F87-8FB5-71221E86C0BF}"/>
    <hyperlink ref="C206" r:id="rId175" display="https://aulas.descomplica.com.br/pos/pos-graduacao-em-tecnologias-aplicadas-a-educacao-aa4b27/turma/recursos-audiovisuais-utilizados-na-educacao" xr:uid="{9462A334-C711-4BAB-B27A-3E9C607BA231}"/>
    <hyperlink ref="C207" r:id="rId176" display="https://aulas.descomplica.com.br/pos/pos-graduacao-em-tecnologias-aplicadas-a-educacao-aa4b27/turma/topicos-especiais-de-tecnologia-7df69a" xr:uid="{E514075E-7499-49F2-BBC0-CA3198A6B8EE}"/>
    <hyperlink ref="C208" r:id="rId177" display="https://aulas.descomplica.com.br/pos/pos-graduacao-em-tecnologias-aplicadas-a-educacao-aa4b27/turma/topicos-especiais-de-diversidade-c82ea4" xr:uid="{87CD7F5C-0EB3-4BD7-9ADC-FD76A96A6D06}"/>
    <hyperlink ref="C209" r:id="rId178" display="https://aulas.descomplica.com.br/pos/pos-graduacao-em-tecnologias-aplicadas-a-educacao-aa4b27/turma/topicos-especiais-de-carreira-52b35b" xr:uid="{CFA30B27-AD8A-429D-8765-7D9BD18628F6}"/>
    <hyperlink ref="C210" r:id="rId179" display="https://aulas.descomplica.com.br/pos/pos-graduacao-em-tecnologias-aplicadas-a-educacao-aa4b27/turma/atualidades-pos-graduacao-e9ba49" xr:uid="{D6DA6054-9F95-40A7-B451-544668824958}"/>
    <hyperlink ref="C214" r:id="rId180" display="https://aulas.descomplica.com.br/pos/pos-graduacao-em-privacidade-e-protecao-de-dados-pessoais-34c664/turma/gestao-do-tempo-d0d9d2" xr:uid="{95F9D3F1-4C5D-4164-AC2C-752D3DCD630B}"/>
    <hyperlink ref="C215" r:id="rId181" display="https://aulas.descomplica.com.br/pos/pos-graduacao-em-privacidade-e-protecao-de-dados-pessoais-34c664/turma/projeto-de-vida-881cd0" xr:uid="{63EAD8DE-8207-4F46-807A-CBE6A2EC53E9}"/>
    <hyperlink ref="C216" r:id="rId182" display="https://aulas.descomplica.com.br/pos/pos-graduacao-em-privacidade-e-protecao-de-dados-pessoais-34c664/turma/coaching-e-planejamento-de-carreira-5d2e30" xr:uid="{43B2E091-EB84-40B7-A32C-9F6ECA3C6DA5}"/>
    <hyperlink ref="C217" r:id="rId183" display="https://aulas.descomplica.com.br/pos/pos-graduacao-em-privacidade-e-protecao-de-dados-pessoais-34c664/turma/governanca-e-qualidade-de-dados-4220bc" xr:uid="{4F539128-C269-44D5-AA93-97EF787DC64E}"/>
    <hyperlink ref="C218" r:id="rId184" display="https://aulas.descomplica.com.br/pos/pos-graduacao-em-privacidade-e-protecao-de-dados-pessoais-34c664/turma/o-ecossistema-da-lgpd" xr:uid="{29D09AC0-8991-4190-82EE-1EA451937D04}"/>
    <hyperlink ref="C219" r:id="rId185" display="https://aulas.descomplica.com.br/pos/pos-graduacao-em-privacidade-e-protecao-de-dados-pessoais-34c664/turma/narrativas-roteiro-e-storyboard-701137" xr:uid="{2427BEEA-16D6-4680-BEC6-ADFEAAA429B6}"/>
    <hyperlink ref="C220" r:id="rId186" display="https://aulas.descomplica.com.br/pos/pos-graduacao-em-privacidade-e-protecao-de-dados-pessoais-34c664/turma/seguranca-e-privacidade-c311e3" xr:uid="{8F6ECDE6-57A7-4311-8BB0-AC001696F735}"/>
    <hyperlink ref="C221" r:id="rId187" display="https://aulas.descomplica.com.br/pos/pos-graduacao-em-privacidade-e-protecao-de-dados-pessoais-34c664/turma/redes-de-comunicacao-protocolos-e-roteamento-c87585" xr:uid="{81EFB158-E8BA-4A23-A21C-506BCB658182}"/>
    <hyperlink ref="C222" r:id="rId188" display="https://aulas.descomplica.com.br/pos/pos-graduacao-em-privacidade-e-protecao-de-dados-pessoais-34c664/turma/analise-de-conformidade-com-a-lgpd" xr:uid="{2F0546ED-C855-4AF0-80D0-25940C42A257}"/>
    <hyperlink ref="C223" r:id="rId189" display="https://aulas.descomplica.com.br/pos/pos-graduacao-em-privacidade-e-protecao-de-dados-pessoais-34c664/turma/computacao-em-nuvem-5fce44" xr:uid="{E60440E0-36D0-4A7A-9949-811F343B791F}"/>
    <hyperlink ref="C224" r:id="rId190" display="https://aulas.descomplica.com.br/pos/pos-graduacao-em-privacidade-e-protecao-de-dados-pessoais-34c664/turma/tratamento-e-resposta-a-incidentes" xr:uid="{47417E53-6788-4915-8E4A-A83E48908574}"/>
    <hyperlink ref="C225" r:id="rId191" display="https://aulas.descomplica.com.br/pos/pos-graduacao-em-privacidade-e-protecao-de-dados-pessoais-34c664/turma/sistema-de-gestao-de-protecao-e-privacidade-de-dados" xr:uid="{28D61BEE-212F-4E8B-923B-26A0BC158627}"/>
    <hyperlink ref="C226" r:id="rId192" display="https://aulas.descomplica.com.br/pos/pos-graduacao-em-privacidade-e-protecao-de-dados-pessoais-34c664/turma/mapeamento-de-fluxo-de-dados" xr:uid="{1A7CD88F-3468-4BBB-A4BB-68280F0DDE79}"/>
    <hyperlink ref="C227" r:id="rId193" display="https://aulas.descomplica.com.br/pos/pos-graduacao-em-privacidade-e-protecao-de-dados-pessoais-34c664/turma/topicos-especiais-de-tecnologia-44bf96" xr:uid="{A7859B97-7B5D-4F45-A1A2-0902BE6E81CE}"/>
    <hyperlink ref="C228" r:id="rId194" display="https://aulas.descomplica.com.br/pos/pos-graduacao-em-privacidade-e-protecao-de-dados-pessoais-34c664/turma/topicos-especiais-de-diversidade-722944" xr:uid="{9F409215-3CBD-40DA-8461-29FFD2B59BE5}"/>
    <hyperlink ref="C229" r:id="rId195" display="https://aulas.descomplica.com.br/pos/pos-graduacao-em-privacidade-e-protecao-de-dados-pessoais-34c664/turma/topicos-especiais-de-carreira-2893bf" xr:uid="{C4884C5D-DE34-4CAD-B6AA-A00FF1E71107}"/>
    <hyperlink ref="C230" r:id="rId196" display="https://aulas.descomplica.com.br/pos/pos-graduacao-em-privacidade-e-protecao-de-dados-pessoais-34c664/turma/atualidades-pos-graduacao-96d6a4" xr:uid="{C4314BA9-0196-4506-A23C-8BC0983AE7D5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DC3-7018-428F-8D24-A7F72505B4CE}">
  <dimension ref="A1:B2"/>
  <sheetViews>
    <sheetView workbookViewId="0">
      <selection activeCell="B2" sqref="B2"/>
    </sheetView>
  </sheetViews>
  <sheetFormatPr defaultRowHeight="15" x14ac:dyDescent="0.25"/>
  <cols>
    <col min="1" max="2" width="10.42578125" bestFit="1" customWidth="1"/>
  </cols>
  <sheetData>
    <row r="1" spans="1:2" x14ac:dyDescent="0.25">
      <c r="A1" s="9" t="s">
        <v>15</v>
      </c>
      <c r="B1" s="9" t="s">
        <v>16</v>
      </c>
    </row>
    <row r="2" spans="1:2" x14ac:dyDescent="0.25">
      <c r="A2" s="7">
        <v>46317</v>
      </c>
      <c r="B2" s="8">
        <f>A2+365</f>
        <v>46682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E2C0-7CCC-4C41-A92A-5DD52AAF1A60}">
  <dimension ref="A1:E13"/>
  <sheetViews>
    <sheetView workbookViewId="0">
      <selection activeCell="B17" sqref="B17"/>
    </sheetView>
  </sheetViews>
  <sheetFormatPr defaultRowHeight="15" x14ac:dyDescent="0.25"/>
  <cols>
    <col min="1" max="1" width="25.5703125" customWidth="1"/>
    <col min="2" max="3" width="59.28515625" customWidth="1"/>
    <col min="4" max="4" width="7.140625" bestFit="1" customWidth="1"/>
  </cols>
  <sheetData>
    <row r="1" spans="1:5" ht="15.75" thickBot="1" x14ac:dyDescent="0.3">
      <c r="A1" s="12" t="s">
        <v>17</v>
      </c>
      <c r="B1" s="12" t="s">
        <v>12</v>
      </c>
      <c r="C1" s="12" t="s">
        <v>18</v>
      </c>
      <c r="D1" s="12" t="s">
        <v>19</v>
      </c>
      <c r="E1" s="12"/>
    </row>
    <row r="2" spans="1:5" ht="16.5" thickTop="1" thickBot="1" x14ac:dyDescent="0.3">
      <c r="A2" s="13" t="s">
        <v>20</v>
      </c>
      <c r="B2" s="13" t="s">
        <v>21</v>
      </c>
      <c r="C2" s="13" t="s">
        <v>22</v>
      </c>
      <c r="D2" s="14" t="s">
        <v>23</v>
      </c>
      <c r="E2" s="15"/>
    </row>
    <row r="3" spans="1:5" ht="15.75" thickBot="1" x14ac:dyDescent="0.3">
      <c r="A3" s="13" t="s">
        <v>20</v>
      </c>
      <c r="B3" s="13" t="s">
        <v>24</v>
      </c>
      <c r="C3" s="13" t="s">
        <v>25</v>
      </c>
      <c r="D3" s="14" t="s">
        <v>23</v>
      </c>
      <c r="E3" s="15"/>
    </row>
    <row r="4" spans="1:5" ht="15.75" thickBot="1" x14ac:dyDescent="0.3">
      <c r="A4" s="13" t="s">
        <v>20</v>
      </c>
      <c r="B4" s="13" t="s">
        <v>26</v>
      </c>
      <c r="C4" s="13" t="s">
        <v>27</v>
      </c>
      <c r="D4" s="14" t="s">
        <v>23</v>
      </c>
      <c r="E4" s="15"/>
    </row>
    <row r="5" spans="1:5" ht="15.75" thickBot="1" x14ac:dyDescent="0.3">
      <c r="A5" s="13" t="s">
        <v>20</v>
      </c>
      <c r="B5" s="13" t="s">
        <v>28</v>
      </c>
      <c r="C5" s="13" t="s">
        <v>29</v>
      </c>
      <c r="D5" s="14" t="s">
        <v>23</v>
      </c>
      <c r="E5" s="15"/>
    </row>
    <row r="6" spans="1:5" ht="15.75" thickBot="1" x14ac:dyDescent="0.3">
      <c r="A6" s="13" t="s">
        <v>20</v>
      </c>
      <c r="B6" s="13" t="s">
        <v>30</v>
      </c>
      <c r="C6" s="13" t="s">
        <v>31</v>
      </c>
      <c r="D6" s="14" t="s">
        <v>23</v>
      </c>
      <c r="E6" s="15"/>
    </row>
    <row r="7" spans="1:5" ht="15.75" thickBot="1" x14ac:dyDescent="0.3">
      <c r="A7" s="13" t="s">
        <v>20</v>
      </c>
      <c r="B7" s="13" t="s">
        <v>2</v>
      </c>
      <c r="C7" s="13" t="s">
        <v>32</v>
      </c>
      <c r="D7" s="14" t="s">
        <v>23</v>
      </c>
      <c r="E7" s="15"/>
    </row>
    <row r="8" spans="1:5" ht="15.75" thickBot="1" x14ac:dyDescent="0.3">
      <c r="A8" s="13" t="s">
        <v>20</v>
      </c>
      <c r="B8" s="13" t="s">
        <v>0</v>
      </c>
      <c r="C8" s="13" t="s">
        <v>33</v>
      </c>
      <c r="D8" s="14" t="s">
        <v>23</v>
      </c>
      <c r="E8" s="15"/>
    </row>
    <row r="9" spans="1:5" ht="15.75" thickBot="1" x14ac:dyDescent="0.3">
      <c r="A9" s="13" t="s">
        <v>20</v>
      </c>
      <c r="B9" s="13" t="s">
        <v>34</v>
      </c>
      <c r="C9" s="13" t="s">
        <v>35</v>
      </c>
      <c r="D9" s="14" t="s">
        <v>23</v>
      </c>
      <c r="E9" s="15"/>
    </row>
    <row r="10" spans="1:5" ht="15.75" thickBot="1" x14ac:dyDescent="0.3">
      <c r="A10" s="13" t="s">
        <v>20</v>
      </c>
      <c r="B10" s="13" t="s">
        <v>1</v>
      </c>
      <c r="C10" s="13" t="s">
        <v>36</v>
      </c>
      <c r="D10" s="14" t="s">
        <v>23</v>
      </c>
      <c r="E10" s="15"/>
    </row>
    <row r="11" spans="1:5" ht="15.75" thickBot="1" x14ac:dyDescent="0.3">
      <c r="A11" s="13" t="s">
        <v>20</v>
      </c>
      <c r="B11" s="13" t="s">
        <v>37</v>
      </c>
      <c r="C11" s="13" t="s">
        <v>38</v>
      </c>
      <c r="D11" s="14" t="s">
        <v>23</v>
      </c>
      <c r="E11" s="15"/>
    </row>
    <row r="12" spans="1:5" ht="15.75" thickBot="1" x14ac:dyDescent="0.3">
      <c r="A12" s="13" t="s">
        <v>20</v>
      </c>
      <c r="B12" s="13" t="s">
        <v>39</v>
      </c>
      <c r="C12" s="13" t="s">
        <v>40</v>
      </c>
      <c r="D12" s="14" t="s">
        <v>23</v>
      </c>
      <c r="E12" s="15"/>
    </row>
    <row r="13" spans="1:5" ht="15.75" thickBot="1" x14ac:dyDescent="0.3">
      <c r="A13" s="13" t="s">
        <v>20</v>
      </c>
      <c r="B13" s="13" t="s">
        <v>41</v>
      </c>
      <c r="C13" s="13" t="s">
        <v>42</v>
      </c>
      <c r="D13" s="14" t="s">
        <v>23</v>
      </c>
      <c r="E13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</vt:lpstr>
      <vt:lpstr>disciplina</vt:lpstr>
      <vt:lpstr>Contrato</vt:lpstr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Epumuceno Rodrigues Junior</dc:creator>
  <cp:lastModifiedBy>Edy Epumuceno Rodrigues Junior</cp:lastModifiedBy>
  <dcterms:created xsi:type="dcterms:W3CDTF">2026-10-22T19:20:27Z</dcterms:created>
  <dcterms:modified xsi:type="dcterms:W3CDTF">2026-10-23T15:37:01Z</dcterms:modified>
</cp:coreProperties>
</file>